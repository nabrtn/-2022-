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er_by_region_edit" sheetId="1" r:id="rId5"/>
    <sheet state="visible" name="top-10_cancer_by_region" sheetId="2" r:id="rId6"/>
    <sheet state="visible" name="cancer_by_region_meta" sheetId="3" r:id="rId7"/>
    <sheet state="visible" name="cancer_by_type_edit" sheetId="4" r:id="rId8"/>
    <sheet state="visible" name="top10localizations_cancer_by_ty" sheetId="5" r:id="rId9"/>
    <sheet state="visible" name="cancer_by_type_meta" sheetId="6" r:id="rId10"/>
    <sheet state="visible" name="cancer_by_age_type_edit" sheetId="7" r:id="rId11"/>
    <sheet state="visible" name="outliers_cancer_by_age_type" sheetId="8" r:id="rId12"/>
    <sheet state="visible" name="cancer_by_age_type_meta" sheetId="9" r:id="rId13"/>
    <sheet state="visible" name="death_cancer_by_region_edit" sheetId="10" r:id="rId14"/>
    <sheet state="visible" name="antitop-10_death_cancer_by_regi" sheetId="11" r:id="rId15"/>
    <sheet state="visible" name="death_cancer_by_region_meta" sheetId="12" r:id="rId16"/>
    <sheet state="visible" name="population_edit" sheetId="13" r:id="rId17"/>
    <sheet state="visible" name="population_dop_znach" sheetId="14" r:id="rId18"/>
    <sheet state="visible" name="population_meta" sheetId="15" r:id="rId19"/>
  </sheets>
  <definedNames>
    <definedName name="г._Москва___город_федерального_значения">#REF!</definedName>
    <definedName name="А1">#REF!</definedName>
  </definedNames>
  <calcPr/>
  <pivotCaches>
    <pivotCache cacheId="0" r:id="rId20"/>
    <pivotCache cacheId="1" r:id="rId21"/>
    <pivotCache cacheId="2" r:id="rId22"/>
    <pivotCache cacheId="3" r:id="rId23"/>
  </pivotCaches>
</workbook>
</file>

<file path=xl/sharedStrings.xml><?xml version="1.0" encoding="utf-8"?>
<sst xmlns="http://schemas.openxmlformats.org/spreadsheetml/2006/main" count="2157" uniqueCount="418">
  <si>
    <t>region</t>
  </si>
  <si>
    <t>region_english</t>
  </si>
  <si>
    <t>squares code</t>
  </si>
  <si>
    <t>male_abs_num</t>
  </si>
  <si>
    <t>female_abs_num</t>
  </si>
  <si>
    <t>male_population_0-14</t>
  </si>
  <si>
    <t>female_population_0-14</t>
  </si>
  <si>
    <t>male_per_100k</t>
  </si>
  <si>
    <t>female_per_100k</t>
  </si>
  <si>
    <t>total_per_100k</t>
  </si>
  <si>
    <t>total_death_risk_group</t>
  </si>
  <si>
    <t>Белгородская область</t>
  </si>
  <si>
    <t>Belgorod Oblast</t>
  </si>
  <si>
    <t>БЕЛ</t>
  </si>
  <si>
    <t>Брянская область</t>
  </si>
  <si>
    <t>Bryansk Oblast</t>
  </si>
  <si>
    <t>БРЯ</t>
  </si>
  <si>
    <t>Владимирская область</t>
  </si>
  <si>
    <t>Vladimir Oblast</t>
  </si>
  <si>
    <t>ВЛД</t>
  </si>
  <si>
    <t>Воронежская область</t>
  </si>
  <si>
    <t>Voronezh Oblast</t>
  </si>
  <si>
    <t>ВРЖ</t>
  </si>
  <si>
    <t>Ивановская область</t>
  </si>
  <si>
    <t>Ivanovo Oblast</t>
  </si>
  <si>
    <t>ИВА</t>
  </si>
  <si>
    <t>Тверская область</t>
  </si>
  <si>
    <t>Tver Oblast</t>
  </si>
  <si>
    <t>ТВР</t>
  </si>
  <si>
    <t>Калужская область</t>
  </si>
  <si>
    <t>Kaluga Oblast</t>
  </si>
  <si>
    <t>КЛУ</t>
  </si>
  <si>
    <t>Костромская область</t>
  </si>
  <si>
    <t>Kostroma Oblast</t>
  </si>
  <si>
    <t>КОС</t>
  </si>
  <si>
    <t>Курская область</t>
  </si>
  <si>
    <t>Kursk Oblast</t>
  </si>
  <si>
    <t>КУР</t>
  </si>
  <si>
    <t>Липецкая область</t>
  </si>
  <si>
    <t>Lipetsk Oblast</t>
  </si>
  <si>
    <t>ЛИП</t>
  </si>
  <si>
    <t>г. Москва</t>
  </si>
  <si>
    <t>Moscow</t>
  </si>
  <si>
    <t>МСК</t>
  </si>
  <si>
    <t>Московская область</t>
  </si>
  <si>
    <t>Moscow region</t>
  </si>
  <si>
    <t>МО</t>
  </si>
  <si>
    <t>Орловская область</t>
  </si>
  <si>
    <t>Oryol Oblast</t>
  </si>
  <si>
    <t>ОРЛ</t>
  </si>
  <si>
    <t>Рязанская область</t>
  </si>
  <si>
    <t>Ryazan Oblast</t>
  </si>
  <si>
    <t>РЯЗ</t>
  </si>
  <si>
    <t>Смоленская область</t>
  </si>
  <si>
    <t>Smolensk region</t>
  </si>
  <si>
    <t>СМЛ</t>
  </si>
  <si>
    <t>Тамбовская область</t>
  </si>
  <si>
    <t>Tambov Oblast</t>
  </si>
  <si>
    <t>ТМБ</t>
  </si>
  <si>
    <t>Тульская область</t>
  </si>
  <si>
    <t>Tula Oblast</t>
  </si>
  <si>
    <t>ТУЛ</t>
  </si>
  <si>
    <t>Ярославская область</t>
  </si>
  <si>
    <t>Yaroslavl Oblast</t>
  </si>
  <si>
    <t>ЯРС</t>
  </si>
  <si>
    <t>Ненецкий АО</t>
  </si>
  <si>
    <t>Nenets Autonomous Okrug</t>
  </si>
  <si>
    <t>НАО</t>
  </si>
  <si>
    <t>Архангельская область</t>
  </si>
  <si>
    <t>Arkhangelsk Oblast</t>
  </si>
  <si>
    <t>АРХ</t>
  </si>
  <si>
    <t>Вологодская область</t>
  </si>
  <si>
    <t>Vologda Oblast</t>
  </si>
  <si>
    <t>ВЛГ</t>
  </si>
  <si>
    <t>Калининградская область</t>
  </si>
  <si>
    <t>Kaliningrad Oblast</t>
  </si>
  <si>
    <t>КГД</t>
  </si>
  <si>
    <t>г. Санкт-Петербург</t>
  </si>
  <si>
    <t>Saint Petersburg</t>
  </si>
  <si>
    <t>СПБ</t>
  </si>
  <si>
    <t>Ленинградская область</t>
  </si>
  <si>
    <t>Leningrad Oblast</t>
  </si>
  <si>
    <t>ЛО</t>
  </si>
  <si>
    <t>Мурманская область</t>
  </si>
  <si>
    <t>Murmansk Oblast</t>
  </si>
  <si>
    <t>МУР</t>
  </si>
  <si>
    <t>Новгородская область</t>
  </si>
  <si>
    <t>Novgorod Oblast</t>
  </si>
  <si>
    <t>НВГ</t>
  </si>
  <si>
    <t>Псковская область</t>
  </si>
  <si>
    <t>Pskov Oblast</t>
  </si>
  <si>
    <t>ПСК</t>
  </si>
  <si>
    <t>Республика Карелия</t>
  </si>
  <si>
    <t>Karelia</t>
  </si>
  <si>
    <t>КРЛ</t>
  </si>
  <si>
    <t>Республика Коми</t>
  </si>
  <si>
    <t>Komi</t>
  </si>
  <si>
    <t>КОМ</t>
  </si>
  <si>
    <t>Краснодарский край</t>
  </si>
  <si>
    <t>Krasnodar Krai</t>
  </si>
  <si>
    <t>КДА</t>
  </si>
  <si>
    <t>Астраханская область</t>
  </si>
  <si>
    <t>Astrakhan region</t>
  </si>
  <si>
    <t>АСТ</t>
  </si>
  <si>
    <t>Волгоградская область</t>
  </si>
  <si>
    <t>Volgograd Oblast</t>
  </si>
  <si>
    <t>ВГГ</t>
  </si>
  <si>
    <t>Ростовская область</t>
  </si>
  <si>
    <t>Rostov Oblast</t>
  </si>
  <si>
    <t>РСТ</t>
  </si>
  <si>
    <t>Республика Адыгея</t>
  </si>
  <si>
    <t>Adygea</t>
  </si>
  <si>
    <t>АДГ</t>
  </si>
  <si>
    <t>Республика Калмыкия</t>
  </si>
  <si>
    <t>Kalmykia</t>
  </si>
  <si>
    <t>КЛМ</t>
  </si>
  <si>
    <t>Республика Крым</t>
  </si>
  <si>
    <t>Crimea</t>
  </si>
  <si>
    <t>КРМ</t>
  </si>
  <si>
    <t>г. Севастополь</t>
  </si>
  <si>
    <t>Sevastopol</t>
  </si>
  <si>
    <t>СЕВ</t>
  </si>
  <si>
    <t>Ставропольский край</t>
  </si>
  <si>
    <t>Stavropol Krai</t>
  </si>
  <si>
    <t>СТВ</t>
  </si>
  <si>
    <t>Республика Ингушетия</t>
  </si>
  <si>
    <t>Ingushetia</t>
  </si>
  <si>
    <t>ИНГ</t>
  </si>
  <si>
    <t>Республика Дагестан</t>
  </si>
  <si>
    <t>Dagestan</t>
  </si>
  <si>
    <t>ДАГ</t>
  </si>
  <si>
    <t>Республика Кабардино-Балкария</t>
  </si>
  <si>
    <t>Kabardino-Balkaria</t>
  </si>
  <si>
    <t>КБР</t>
  </si>
  <si>
    <t>Республика Северная Осетия – Алания</t>
  </si>
  <si>
    <t>North Ossetia-Alania</t>
  </si>
  <si>
    <t>ОСЕ</t>
  </si>
  <si>
    <t>Республика Карачаево-Черкессия</t>
  </si>
  <si>
    <t>Karachay-Cherkessia</t>
  </si>
  <si>
    <t>КЧР</t>
  </si>
  <si>
    <t>Республика Чечня</t>
  </si>
  <si>
    <t>Chechnya</t>
  </si>
  <si>
    <t>ЧЕЧ</t>
  </si>
  <si>
    <t>Нижегородская область</t>
  </si>
  <si>
    <t>Nizhny Novgorod Oblast</t>
  </si>
  <si>
    <t>НИЖ</t>
  </si>
  <si>
    <t>Кировская область</t>
  </si>
  <si>
    <t>Kirov Oblast</t>
  </si>
  <si>
    <t>КИР</t>
  </si>
  <si>
    <t>Самарская область</t>
  </si>
  <si>
    <t>Samara Oblast</t>
  </si>
  <si>
    <t>САМ</t>
  </si>
  <si>
    <t>Оренбургская область</t>
  </si>
  <si>
    <t>Orenburg region</t>
  </si>
  <si>
    <t>ОРБ</t>
  </si>
  <si>
    <t>Пензенская область</t>
  </si>
  <si>
    <t>Penza Oblast</t>
  </si>
  <si>
    <t>ПЕНЗ</t>
  </si>
  <si>
    <t>Пермский край</t>
  </si>
  <si>
    <t>Perm Krai</t>
  </si>
  <si>
    <t>ПЕР</t>
  </si>
  <si>
    <t>Саратовская область</t>
  </si>
  <si>
    <t>Saratov Oblast</t>
  </si>
  <si>
    <t>САР</t>
  </si>
  <si>
    <t>Ульяновская область</t>
  </si>
  <si>
    <t>Ulyanovsk Oblast</t>
  </si>
  <si>
    <t>УЛН</t>
  </si>
  <si>
    <t>Республика Башкортостан</t>
  </si>
  <si>
    <t>Bashkortostan</t>
  </si>
  <si>
    <t>БАШ</t>
  </si>
  <si>
    <t>Республика Марий Эл</t>
  </si>
  <si>
    <t>Mari El</t>
  </si>
  <si>
    <t>М-Э</t>
  </si>
  <si>
    <t>Республика Мордовия</t>
  </si>
  <si>
    <t>Mordovia</t>
  </si>
  <si>
    <t>МРД</t>
  </si>
  <si>
    <t>Республика Татарстан</t>
  </si>
  <si>
    <t>Tatarstan</t>
  </si>
  <si>
    <t>ТАТ</t>
  </si>
  <si>
    <t>Республика Удмуртия</t>
  </si>
  <si>
    <t>Udmurtia</t>
  </si>
  <si>
    <t>УДМ</t>
  </si>
  <si>
    <t>Республика Чувашия</t>
  </si>
  <si>
    <t>Chuvashia</t>
  </si>
  <si>
    <t>ЧУВ</t>
  </si>
  <si>
    <t>Ханты-Мансийский АО</t>
  </si>
  <si>
    <t>Khanty-Mansi Autonomous Okrug - Yugra</t>
  </si>
  <si>
    <t>Х-М</t>
  </si>
  <si>
    <t>Ямало-Ненецкий АО</t>
  </si>
  <si>
    <t>Yamalo-Nenets Autonomous Okrug</t>
  </si>
  <si>
    <t>Я-Н</t>
  </si>
  <si>
    <t>Курганская область</t>
  </si>
  <si>
    <t>Kurgan Oblast</t>
  </si>
  <si>
    <t>КГН</t>
  </si>
  <si>
    <t>Свердловская область</t>
  </si>
  <si>
    <t>Sverdlovsk Oblast</t>
  </si>
  <si>
    <t>СВР</t>
  </si>
  <si>
    <t>Тюменская область</t>
  </si>
  <si>
    <t>Tyumen Oblast</t>
  </si>
  <si>
    <t>ТЮМ</t>
  </si>
  <si>
    <t>Челябинская область</t>
  </si>
  <si>
    <t>Chelyabinsk Oblast</t>
  </si>
  <si>
    <t>ЧЕЛ</t>
  </si>
  <si>
    <t>Алтайский край</t>
  </si>
  <si>
    <t>Altai Krai</t>
  </si>
  <si>
    <t>АЛК</t>
  </si>
  <si>
    <t>Красноярский край</t>
  </si>
  <si>
    <t>Krasnoyarsk Krai</t>
  </si>
  <si>
    <t>КЯР</t>
  </si>
  <si>
    <t>Иркутская область</t>
  </si>
  <si>
    <t>Irkutsk Oblast</t>
  </si>
  <si>
    <t>ИРК</t>
  </si>
  <si>
    <t>Кемеровская область</t>
  </si>
  <si>
    <t>Kemerovo Oblast - Kuzbass</t>
  </si>
  <si>
    <t>КЕМ</t>
  </si>
  <si>
    <t>Новосибирская область</t>
  </si>
  <si>
    <t>Novosibirsk Oblast</t>
  </si>
  <si>
    <t>НСК</t>
  </si>
  <si>
    <t>Омская область</t>
  </si>
  <si>
    <t>Omsk Oblast</t>
  </si>
  <si>
    <t>ОМС</t>
  </si>
  <si>
    <t>Томская область</t>
  </si>
  <si>
    <t>Tomsk Oblast</t>
  </si>
  <si>
    <t>ТОМ</t>
  </si>
  <si>
    <t>Республика Алтай</t>
  </si>
  <si>
    <t>Altai</t>
  </si>
  <si>
    <t>АЛ.Р</t>
  </si>
  <si>
    <t>Республика Тыва</t>
  </si>
  <si>
    <t>Tuva</t>
  </si>
  <si>
    <t>ТЫВ</t>
  </si>
  <si>
    <t>Республика Хакасия</t>
  </si>
  <si>
    <t>Khakassia</t>
  </si>
  <si>
    <t>ХАК</t>
  </si>
  <si>
    <t>Приморский край</t>
  </si>
  <si>
    <t>Primorsky Krai</t>
  </si>
  <si>
    <t>ПРИ</t>
  </si>
  <si>
    <t>Хабаровский край</t>
  </si>
  <si>
    <t>Khabarovsk Krai</t>
  </si>
  <si>
    <t>ХАБ</t>
  </si>
  <si>
    <t>Амурская область</t>
  </si>
  <si>
    <t>Amur Oblast</t>
  </si>
  <si>
    <t>АМР</t>
  </si>
  <si>
    <t>Камчатский край</t>
  </si>
  <si>
    <t>Kamchatka Krai</t>
  </si>
  <si>
    <t>КМЧ</t>
  </si>
  <si>
    <t>Магаданская область</t>
  </si>
  <si>
    <t>Magadan Oblast</t>
  </si>
  <si>
    <t>МАГ</t>
  </si>
  <si>
    <t>Сахалинская область</t>
  </si>
  <si>
    <t>Sakhalin Oblast</t>
  </si>
  <si>
    <t>САХ</t>
  </si>
  <si>
    <t>Забайкальский край</t>
  </si>
  <si>
    <t>Transbaikal Territory</t>
  </si>
  <si>
    <t>ЗАБ</t>
  </si>
  <si>
    <t>Чукотский АО</t>
  </si>
  <si>
    <t>Chukotka Autonomous Okrug</t>
  </si>
  <si>
    <t>ЧУК</t>
  </si>
  <si>
    <t>Республика Бурятия</t>
  </si>
  <si>
    <t>Buryatia</t>
  </si>
  <si>
    <t>БУР</t>
  </si>
  <si>
    <t>Республика Саха (Якутия)</t>
  </si>
  <si>
    <t>Sakha - Yakutia</t>
  </si>
  <si>
    <t>ЯКУ</t>
  </si>
  <si>
    <t>Еврейская АО</t>
  </si>
  <si>
    <t>SUM из total_per_100k</t>
  </si>
  <si>
    <r>
      <rPr>
        <rFont val="Roboto"/>
      </rPr>
      <t xml:space="preserve">Источник: 
</t>
    </r>
    <r>
      <rPr>
        <rFont val="Roboto"/>
        <color rgb="FF1155CC"/>
        <u/>
      </rPr>
      <t>ЗЛОКАЧЕСТВЕНЕННЫЕ НОВООБРАЗОВАНИЯ В РОССИИ В 2022 ГОДУ</t>
    </r>
    <r>
      <rPr>
        <rFont val="Roboto"/>
      </rPr>
      <t xml:space="preserve">
Таблица 116, стр. 252-253</t>
    </r>
  </si>
  <si>
    <t>регион</t>
  </si>
  <si>
    <t>абсолютное число впервые заболевших среди мальчиков</t>
  </si>
  <si>
    <t>абсолютное число впервые заболевших среди девочек</t>
  </si>
  <si>
    <t>численность мальчиков в возрасте  0-14</t>
  </si>
  <si>
    <t>численность девочек в возрасте 0-14</t>
  </si>
  <si>
    <t>показатель заболеваемости среди мальчиков на 100 тыс. населения мальчиков в возрасте 0-14</t>
  </si>
  <si>
    <t>показатель заболеваемости среди девочек на 100 тыс. населения девочек в возрасте 0-14</t>
  </si>
  <si>
    <t>Категория уровня онкозаболеваемости в регионе на основе показателя общей онкозаболеваемости на 100 тыс. детей 0-14 лет.
Метод формирования: регионы распределены по трем группам с использованием 33-го и 67-го процентилей распределения показателя total_death_rate_per100k. 
Значения:
1) низкий — регионы, в которых значение показателя ниже 33-го процентиля (наименьшие уровни заболеваемости);
2) средний — регионы со значением между 33-м и 67-м процентилями;
3) высокий — регионы со значением выше 67-го процентиля (наибольшие уровни заболеваемости).</t>
  </si>
  <si>
    <t>Пояснения: 
Нулевые значения в датасете означают отсутствие зарегистрированных случаев заболевания. Поэтому я не стала их удалять.</t>
  </si>
  <si>
    <t>localization</t>
  </si>
  <si>
    <t>male_abs_num_0-14</t>
  </si>
  <si>
    <t>female_abs_num_0-14</t>
  </si>
  <si>
    <t>male_share%</t>
  </si>
  <si>
    <t>female_share%</t>
  </si>
  <si>
    <t>male_rate_per100k</t>
  </si>
  <si>
    <t>female_rate_per100k</t>
  </si>
  <si>
    <t>rate_ratio_by_male</t>
  </si>
  <si>
    <t>Большие слюнные железы</t>
  </si>
  <si>
    <t>Другие и неуточненные части полости рта</t>
  </si>
  <si>
    <t>Ротоглотка</t>
  </si>
  <si>
    <t>Носоглотка</t>
  </si>
  <si>
    <t>Печень и внутрипеч. желчные протоки</t>
  </si>
  <si>
    <t>Полость носа, среднее ухо, придаточные пазухи</t>
  </si>
  <si>
    <t>Кости и суставные хрящи</t>
  </si>
  <si>
    <t>Меланома кожи</t>
  </si>
  <si>
    <t>Соединительная и другие мягкие ткани</t>
  </si>
  <si>
    <t>Яичник</t>
  </si>
  <si>
    <t>Яичко</t>
  </si>
  <si>
    <t>Почка</t>
  </si>
  <si>
    <t>Мочевой пузырь</t>
  </si>
  <si>
    <t>Глаз и его придаточный аппарат</t>
  </si>
  <si>
    <t>Головной мозг и др. отделы ЦНС</t>
  </si>
  <si>
    <t>Щитовидная железа</t>
  </si>
  <si>
    <t>Лимфома Ходжкина</t>
  </si>
  <si>
    <t>Неходжкинская лимфома, другие ЗНО лимфоидной ткани</t>
  </si>
  <si>
    <t>Злокачественные иммунопролиферативные НО</t>
  </si>
  <si>
    <t>Острый лимфолейкоз</t>
  </si>
  <si>
    <t>Другие лимфолейкозы</t>
  </si>
  <si>
    <t>Острый миелолейкоз</t>
  </si>
  <si>
    <t>Хронический миелолейкоз</t>
  </si>
  <si>
    <t>Другие острые лейкозы (моноцитарный и т.д.)</t>
  </si>
  <si>
    <t>Другие лейкозы</t>
  </si>
  <si>
    <t>Другие неуточненные ЗНО лимфатической и кроветворной ткани</t>
  </si>
  <si>
    <t>SUM из male_rate_per100k</t>
  </si>
  <si>
    <t>SUM из female_rate_per100k</t>
  </si>
  <si>
    <r>
      <rPr>
        <rFont val="Roboto"/>
      </rPr>
      <t xml:space="preserve">Источник: 
</t>
    </r>
    <r>
      <rPr>
        <rFont val="Roboto"/>
        <color rgb="FF1155CC"/>
        <u/>
      </rPr>
      <t>ЗЛОКАЧЕСТВЕНЕННЫЕ НОВООБРАЗОВАНИЯ В РОССИИ В 2022 ГОДУ</t>
    </r>
    <r>
      <rPr>
        <rFont val="Roboto"/>
      </rPr>
      <t xml:space="preserve">
Таблица 115, стр. 250-251</t>
    </r>
  </si>
  <si>
    <t>локализация заболевания</t>
  </si>
  <si>
    <t xml:space="preserve">male_abs_num_0-14 </t>
  </si>
  <si>
    <t>абсолютное число впервые заболевших среди мужского пола в возрасте 0-14 лет</t>
  </si>
  <si>
    <t>абсолютное число впервые заболевших среди женского пола в возрасте 0-14 лет</t>
  </si>
  <si>
    <t>доля (в процентах) от всех заболевших мальчиков, которая приходится на данный вид ЗНО (для сравнения структуры заболеваемости)</t>
  </si>
  <si>
    <t>доля (в процентах) от всех заболевших девочек, которая приходится на данный вид ЗНО (для сравнения структуры заболеваемости)</t>
  </si>
  <si>
    <t>сколько случаев данного вида ЗНО приходится на 100 000 мальчиков (в возрасте 0–14 лет)</t>
  </si>
  <si>
    <t>сколько случаев данного вида ЗНО приходится на 100 000 девочек (в возрасте 0–14 лет)</t>
  </si>
  <si>
    <t>во сколько раз заболеваемость мальчиков выше (или ниже) заболеваемости девочек/
rate_ratio = 1 → заболеваемость одинакова у мальчиков и девочек.
rate_ratio &gt; 1 → мальчики болеют чаще.
Например, 2,5 означает, что у мальчиков заболеваемость в 2,5 раза выше.
rate_ratio &lt; 1 → девочки болеют чаще.
Например, 0,4 означает, что у девочек заболеваемость в 2,5 раза выше (поскольку 1 / 0,4 = 2,5).</t>
  </si>
  <si>
    <t>abs_num_0-4</t>
  </si>
  <si>
    <t>abs_num_5-9</t>
  </si>
  <si>
    <t xml:space="preserve">abs_num_10-14 </t>
  </si>
  <si>
    <t>rate_0-4_per100k</t>
  </si>
  <si>
    <t>rate_5-9_per100k</t>
  </si>
  <si>
    <t>rate_10-14_per100k</t>
  </si>
  <si>
    <t>outliers_0-4</t>
  </si>
  <si>
    <t>outliers_5-9</t>
  </si>
  <si>
    <t>outliers_10-14</t>
  </si>
  <si>
    <t>показатель</t>
  </si>
  <si>
    <t>0-4</t>
  </si>
  <si>
    <t>10-14</t>
  </si>
  <si>
    <t>Губа</t>
  </si>
  <si>
    <t>95-й персентиль</t>
  </si>
  <si>
    <t>Язык</t>
  </si>
  <si>
    <t>Гортаноглотка</t>
  </si>
  <si>
    <t>Пищевод</t>
  </si>
  <si>
    <t>Желудок</t>
  </si>
  <si>
    <t>Тонкий кишечник</t>
  </si>
  <si>
    <t>Ободочная кишка</t>
  </si>
  <si>
    <t>Прямая кишка, ректосиг. соединение,  анус</t>
  </si>
  <si>
    <t>Желчный пузырь и внепеченочные желчные протоки</t>
  </si>
  <si>
    <t>Поджелудочная железа</t>
  </si>
  <si>
    <t>Плости носа, среднее ухо, придаточные пазухи</t>
  </si>
  <si>
    <t>Гортань</t>
  </si>
  <si>
    <t>Трахея, бронхи, легкое</t>
  </si>
  <si>
    <t>Випочковая железа</t>
  </si>
  <si>
    <t>Сердце, средостение и плевра</t>
  </si>
  <si>
    <t>Кожа (кроме меланомы)</t>
  </si>
  <si>
    <t>Мезотелиома</t>
  </si>
  <si>
    <t>Саркома Капоши</t>
  </si>
  <si>
    <t>Переферические нервы и вегетативная нервная система</t>
  </si>
  <si>
    <t>Забрюшиннное пространство и брюшина</t>
  </si>
  <si>
    <t>Молочная железа</t>
  </si>
  <si>
    <t>Мозговые оболочки</t>
  </si>
  <si>
    <t>Головной мозг</t>
  </si>
  <si>
    <t>Спинной мозг, черепные нервы и другие отделы ЦНС</t>
  </si>
  <si>
    <t>Надпочечники</t>
  </si>
  <si>
    <t>Неходжкинская лимфома, другие ЗНО лимоидной ткани</t>
  </si>
  <si>
    <t>Острый промиелоцитарный лейкоз</t>
  </si>
  <si>
    <t>SUM из rate_0-4_per100k</t>
  </si>
  <si>
    <t>SUM из rate_5-9_per100k</t>
  </si>
  <si>
    <t>SUM из rate_10-14_per100k</t>
  </si>
  <si>
    <r>
      <rPr>
        <rFont val="Roboto"/>
      </rPr>
      <t xml:space="preserve">"Источник: 
</t>
    </r>
    <r>
      <rPr>
        <rFont val="Roboto"/>
        <color rgb="FF1155CC"/>
        <u/>
      </rPr>
      <t>ЗЛОКАЧЕСТВЕНЕННЫЕ НОВООБРАЗОВАНИЯ В РОССИИ В 2022 ГОДУ</t>
    </r>
    <r>
      <rPr>
        <rFont val="Roboto"/>
      </rPr>
      <t xml:space="preserve">
Таблица 9, стр. 31-35</t>
    </r>
  </si>
  <si>
    <t>абсолютное число случаев в возрастной группе 0–4 года</t>
  </si>
  <si>
    <t>абсолютное число случаев в возрастной группе 5–9 лет</t>
  </si>
  <si>
    <t>абсолютное число случаев в возрастной группе 10–14 лет</t>
  </si>
  <si>
    <t>показатель заболеваемости в возрастной группе 0–4 года, рассчитанный на 100 тыс. детей этого возраста</t>
  </si>
  <si>
    <t>показатель заболеваемости в возрастной группе 5–9 лет, рассчитанный на 100 тыс. детей этого возраста</t>
  </si>
  <si>
    <t>показатель заболеваемости в возрастной группе 10–14 лет, рассчитанный на 100 тыс. детей этого возраста</t>
  </si>
  <si>
    <t>«выброс» — локализация с показателем выше 95-го процентиля (аномально высокая заболеваемость) в возрасте 0-4 года.</t>
  </si>
  <si>
    <t>«выброс» — локализация с показателем выше 95-го процентиля (аномально высокая заболеваемость) в возрасте 5-9 лет.</t>
  </si>
  <si>
    <t>«выброс» — локализация с показателем выше 95-го процентиля (аномально высокая заболеваемость) в возрасте 10-14 лет.</t>
  </si>
  <si>
    <t>male_death_abs_num</t>
  </si>
  <si>
    <t>female_death_abs_num</t>
  </si>
  <si>
    <t>male_death_rate_per100k</t>
  </si>
  <si>
    <t>female_death_rate_per100k</t>
  </si>
  <si>
    <t>total_death_rate_per100k</t>
  </si>
  <si>
    <t>Республика Северная Осетия-Алания</t>
  </si>
  <si>
    <t>SUM из total_death_rate_per100k</t>
  </si>
  <si>
    <t>Антитоп по общей смертности на 100 тыс. детей</t>
  </si>
  <si>
    <r>
      <rPr>
        <rFont val="Roboto"/>
      </rPr>
      <t xml:space="preserve">Источник: 
</t>
    </r>
    <r>
      <rPr>
        <rFont val="Roboto"/>
        <color rgb="FF1155CC"/>
        <u/>
      </rPr>
      <t>ЗЛОКАЧЕСТВЕНЕННЫЕ НОВООБРАЗОВАНИЯ В РОССИИ В 2022 ГОДУ</t>
    </r>
    <r>
      <rPr>
        <rFont val="Roboto"/>
      </rPr>
      <t xml:space="preserve">
Таблица 123, стр. 263-264</t>
    </r>
  </si>
  <si>
    <t>male_death__abs_num</t>
  </si>
  <si>
    <t>абсолютное число случаев смерти среди мальчиков в возрасте 0-14</t>
  </si>
  <si>
    <t>female_death__abs_num</t>
  </si>
  <si>
    <t>абсолютное число случаев смерти среди девочек в возрасте 0-14</t>
  </si>
  <si>
    <t>Смертность среди мальчиков в регионе (на 100 тыс. мальчиков 0–14 лет)</t>
  </si>
  <si>
    <t>Смертность среди девочек в регионе (на 100 тыс. девочек 0–14 лет)</t>
  </si>
  <si>
    <t>Общая смертность в регионе (на 100 тыс. детей 0–14 лет)</t>
  </si>
  <si>
    <t>Категория уровня детской смертности от ЗНО в регионе на основе показателя общей смертности на 100 тыс. детей 0-14 лет.
Метод формирования: регионы распределены по трем группам с использованием 33-го и 67-го процентилей распределения показателя total_death_rate_per100k. 
Значения:
1) низкий — регионы, в которых значение показателя ниже 33-го процентиля (наименьшие уровни смертности);
2) средний — регионы со значением между 33-м и 67-м процентилями;
3) высокий — регионы со значением выше 67-го процентиля (наибольшие уровни смертности).</t>
  </si>
  <si>
    <t>Пояснения: 
Нулевые значения в датасете означают отсутствие зарегистрированных случаев смерти. Поэтому я не стала их удалять.</t>
  </si>
  <si>
    <t>age</t>
  </si>
  <si>
    <t>male</t>
  </si>
  <si>
    <t>female</t>
  </si>
  <si>
    <t xml:space="preserve">до 1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</si>
  <si>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</si>
  <si>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</si>
  <si>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</si>
  <si>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</si>
  <si>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</si>
  <si>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</si>
  <si>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</si>
  <si>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</si>
  <si>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</si>
  <si>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</si>
  <si>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</si>
  <si>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</si>
  <si>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</si>
  <si>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</si>
  <si>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0–4</t>
  </si>
  <si>
    <t>5–9</t>
  </si>
  <si>
    <t>10–14</t>
  </si>
  <si>
    <t xml:space="preserve"> </t>
  </si>
  <si>
    <r>
      <rPr>
        <rFont val="Roboto"/>
      </rPr>
      <t xml:space="preserve">Источник: по данным Росстата 
</t>
    </r>
    <r>
      <rPr>
        <rFont val="Roboto"/>
        <color rgb="FF1155CC"/>
        <u/>
      </rPr>
      <t>Численность населения Российской Федерации по полу и возрасту на 1 января 2023</t>
    </r>
    <r>
      <rPr>
        <rFont val="Roboto"/>
      </rPr>
      <t xml:space="preserve"> 
</t>
    </r>
    <r>
      <rPr>
        <rFont val="Roboto"/>
        <color rgb="FF1155CC"/>
        <u/>
      </rPr>
      <t>Ссылка на отдельную гугл-таблицу с данными</t>
    </r>
  </si>
  <si>
    <t>возраст</t>
  </si>
  <si>
    <t>мальчики</t>
  </si>
  <si>
    <t>девочки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</si>
</sst>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Roboto"/>
    </font>
    <font>
      <u/>
      <color rgb="FF0000FF"/>
      <name val="Roboto"/>
    </font>
    <font>
      <color theme="1"/>
      <name val="Arial"/>
      <scheme val="minor"/>
    </font>
    <font>
      <sz val="11.0"/>
      <color theme="1"/>
      <name val="Roboto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shrinkToFit="0" wrapText="1"/>
    </xf>
    <xf borderId="0" fillId="0" fontId="1" numFmtId="4" xfId="0" applyFont="1" applyNumberFormat="1"/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horizontal="right" readingOrder="0" vertical="bottom"/>
    </xf>
    <xf borderId="0" fillId="0" fontId="1" numFmtId="10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1" numFmtId="0" xfId="0" applyAlignment="1" applyFont="1">
      <alignment shrinkToFit="0" vertical="bottom" wrapText="1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3" xfId="0" applyAlignment="1" applyFont="1" applyNumberFormat="1">
      <alignment horizontal="right" shrinkToFit="0" wrapText="1"/>
    </xf>
    <xf borderId="0" fillId="0" fontId="1" numFmtId="4" xfId="0" applyAlignment="1" applyFont="1" applyNumberForma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1" numFmtId="2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2" xfId="0" applyAlignment="1" applyFont="1" applyNumberFormat="1">
      <alignment horizontal="left" shrinkToFit="0" wrapText="1"/>
    </xf>
    <xf borderId="0" fillId="0" fontId="1" numFmtId="3" xfId="0" applyAlignment="1" applyFont="1" applyNumberFormat="1">
      <alignment shrinkToFit="0" vertical="bottom" wrapText="1"/>
    </xf>
    <xf borderId="0" fillId="0" fontId="4" numFmtId="0" xfId="0" applyFont="1"/>
    <xf borderId="0" fillId="0" fontId="4" numFmtId="3" xfId="0" applyFont="1" applyNumberFormat="1"/>
    <xf borderId="0" fillId="0" fontId="4" numFmtId="3" xfId="0" applyAlignment="1" applyFont="1" applyNumberFormat="1">
      <alignment horizontal="center" shrinkToFit="0" vertical="center" wrapText="1"/>
    </xf>
    <xf borderId="0" fillId="0" fontId="4" numFmtId="3" xfId="0" applyAlignment="1" applyFont="1" applyNumberFormat="1">
      <alignment horizontal="right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right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3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99" sheet="cancer_by_region_edit"/>
  </cacheSource>
  <cacheFields>
    <cacheField name="region" numFmtId="0">
      <sharedItems containsBlank="1"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Тверская область"/>
        <s v="Калужская область"/>
        <s v="Костромская область"/>
        <s v="Курская область"/>
        <s v="Липецкая область"/>
        <s v="г. Москва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ульская область"/>
        <s v="Ярославская область"/>
        <s v="Ненецкий АО"/>
        <s v="Архангельская область"/>
        <s v="Вологодская область"/>
        <s v="Калининградская область"/>
        <s v="г. Санкт-Петербург"/>
        <s v="Ленинградская область"/>
        <s v="Мурманская область"/>
        <s v="Новгородская область"/>
        <s v="Псковская область"/>
        <s v="Республика Карелия"/>
        <s v="Республика Коми"/>
        <s v="Краснодарский край"/>
        <s v="Астраханская область"/>
        <s v="Волгоградская область"/>
        <s v="Ростовская область"/>
        <s v="Республика Адыгея"/>
        <s v="Республика Калмыкия"/>
        <s v="Республика Крым"/>
        <s v="г. Севастополь"/>
        <s v="Ставропольский край"/>
        <s v="Республика Ингушетия"/>
        <s v="Республика Дагестан"/>
        <s v="Республика Кабардино-Балкария"/>
        <s v="Республика Северная Осетия – Алания"/>
        <s v="Республика Карачаево-Черкессия"/>
        <s v="Республика Чечня"/>
        <s v="Нижегородская область"/>
        <s v="Кировская область"/>
        <s v="Самарская область"/>
        <s v="Оренбургская область"/>
        <s v="Пензенская область"/>
        <s v="Пермский край"/>
        <s v="Саратовская область"/>
        <s v="Ульяновская область"/>
        <s v="Республика Башкортостан"/>
        <s v="Республика Марий Эл"/>
        <s v="Республика Мордовия"/>
        <s v="Республика Татарстан"/>
        <s v="Республика Удмуртия"/>
        <s v="Республика Чувашия"/>
        <s v="Ханты-Мансийский АО"/>
        <s v="Ямало-Ненецкий АО"/>
        <s v="Курганская область"/>
        <s v="Свердловская область"/>
        <s v="Тюменская область"/>
        <s v="Челябинская область"/>
        <s v="Алтайский край"/>
        <s v="Красноярский край"/>
        <s v="Иркутская область"/>
        <s v="Кемеровская область"/>
        <s v="Новосибирская область"/>
        <s v="Омская область"/>
        <s v="Томская область"/>
        <s v="Республика Алтай"/>
        <s v="Республика Тыва"/>
        <s v="Республика Хакасия"/>
        <s v="Приморский край"/>
        <s v="Хабаровский край"/>
        <s v="Амурская область"/>
        <s v="Камчатский край"/>
        <s v="Магаданская область"/>
        <s v="Сахалинская область"/>
        <s v="Забайкальский край"/>
        <s v="Чукотский АО"/>
        <s v="Республика Бурятия"/>
        <s v="Республика Саха (Якутия)"/>
        <s v="Еврейская АО"/>
        <m/>
      </sharedItems>
    </cacheField>
    <cacheField name="region_english" numFmtId="0">
      <sharedItems containsBlank="1">
        <s v="Belgorod Oblast"/>
        <s v="Bryansk Oblast"/>
        <s v="Vladimir Oblast"/>
        <s v="Voronezh Oblast"/>
        <s v="Ivanovo Oblast"/>
        <s v="Tver Oblast"/>
        <s v="Kaluga Oblast"/>
        <s v="Kostroma Oblast"/>
        <s v="Kursk Oblast"/>
        <s v="Lipetsk Oblast"/>
        <s v="Moscow"/>
        <s v="Moscow region"/>
        <s v="Oryol Oblast"/>
        <s v="Ryazan Oblast"/>
        <s v="Smolensk region"/>
        <s v="Tambov Oblast"/>
        <s v="Tula Oblast"/>
        <s v="Yaroslavl Oblast"/>
        <s v="Nenets Autonomous Okrug"/>
        <s v="Arkhangelsk Oblast"/>
        <s v="Vologda Oblast"/>
        <s v="Kaliningrad Oblast"/>
        <s v="Saint Petersburg"/>
        <s v="Leningrad Oblast"/>
        <s v="Murmansk Oblast"/>
        <s v="Novgorod Oblast"/>
        <s v="Pskov Oblast"/>
        <s v="Karelia"/>
        <s v="Komi"/>
        <s v="Krasnodar Krai"/>
        <s v="Astrakhan region"/>
        <s v="Volgograd Oblast"/>
        <s v="Rostov Oblast"/>
        <s v="Adygea"/>
        <s v="Kalmykia"/>
        <s v="Crimea"/>
        <s v="Sevastopol"/>
        <s v="Stavropol Krai"/>
        <s v="Ingushetia"/>
        <s v="Dagestan"/>
        <s v="Kabardino-Balkaria"/>
        <s v="North Ossetia-Alania"/>
        <s v="Karachay-Cherkessia"/>
        <s v="Chechnya"/>
        <s v="Nizhny Novgorod Oblast"/>
        <s v="Kirov Oblast"/>
        <s v="Samara Oblast"/>
        <s v="Orenburg region"/>
        <s v="Penza Oblast"/>
        <s v="Perm Krai"/>
        <s v="Saratov Oblast"/>
        <s v="Ulyanovsk Oblast"/>
        <s v="Bashkortostan"/>
        <s v="Mari El"/>
        <s v="Mordovia"/>
        <s v="Tatarstan"/>
        <s v="Udmurtia"/>
        <s v="Chuvashia"/>
        <s v="Khanty-Mansi Autonomous Okrug - Yugra"/>
        <s v="Yamalo-Nenets Autonomous Okrug"/>
        <s v="Kurgan Oblast"/>
        <s v="Sverdlovsk Oblast"/>
        <s v="Tyumen Oblast"/>
        <s v="Chelyabinsk Oblast"/>
        <s v="Altai Krai"/>
        <s v="Krasnoyarsk Krai"/>
        <s v="Irkutsk Oblast"/>
        <s v="Kemerovo Oblast - Kuzbass"/>
        <s v="Novosibirsk Oblast"/>
        <s v="Omsk Oblast"/>
        <s v="Tomsk Oblast"/>
        <s v="Altai"/>
        <s v="Tuva"/>
        <s v="Khakassia"/>
        <s v="Primorsky Krai"/>
        <s v="Khabarovsk Krai"/>
        <s v="Amur Oblast"/>
        <s v="Kamchatka Krai"/>
        <s v="Magadan Oblast"/>
        <s v="Sakhalin Oblast"/>
        <s v="Transbaikal Territory"/>
        <s v="Chukotka Autonomous Okrug"/>
        <s v="Buryatia"/>
        <s v="Sakha - Yakutia"/>
        <m/>
      </sharedItems>
    </cacheField>
    <cacheField name="squares code" numFmtId="0">
      <sharedItems containsBlank="1">
        <s v="БЕЛ"/>
        <s v="БРЯ"/>
        <s v="ВЛД"/>
        <s v="ВРЖ"/>
        <s v="ИВА"/>
        <s v="ТВР"/>
        <s v="КЛУ"/>
        <s v="КОС"/>
        <s v="КУР"/>
        <s v="ЛИП"/>
        <s v="МСК"/>
        <s v="МО"/>
        <s v="ОРЛ"/>
        <s v="РЯЗ"/>
        <s v="СМЛ"/>
        <s v="ТМБ"/>
        <s v="ТУЛ"/>
        <s v="ЯРС"/>
        <s v="НАО"/>
        <s v="АРХ"/>
        <s v="ВЛГ"/>
        <s v="КГД"/>
        <s v="СПБ"/>
        <s v="ЛО"/>
        <s v="МУР"/>
        <s v="НВГ"/>
        <s v="ПСК"/>
        <s v="КРЛ"/>
        <s v="КОМ"/>
        <s v="КДА"/>
        <s v="АСТ"/>
        <s v="ВГГ"/>
        <s v="РСТ"/>
        <s v="АДГ"/>
        <s v="КЛМ"/>
        <s v="КРМ"/>
        <s v="СЕВ"/>
        <s v="СТВ"/>
        <s v="ИНГ"/>
        <s v="ДАГ"/>
        <s v="КБР"/>
        <s v="ОСЕ"/>
        <s v="КЧР"/>
        <s v="ЧЕЧ"/>
        <s v="НИЖ"/>
        <s v="КИР"/>
        <s v="САМ"/>
        <s v="ОРБ"/>
        <s v="ПЕНЗ"/>
        <s v="ПЕР"/>
        <s v="САР"/>
        <s v="УЛН"/>
        <s v="БАШ"/>
        <s v="М-Э"/>
        <s v="МРД"/>
        <s v="ТАТ"/>
        <s v="УДМ"/>
        <s v="ЧУВ"/>
        <s v="Х-М"/>
        <s v="Я-Н"/>
        <s v="КГН"/>
        <s v="СВР"/>
        <s v="ТЮМ"/>
        <s v="ЧЕЛ"/>
        <s v="АЛК"/>
        <s v="КЯР"/>
        <s v="ИРК"/>
        <s v="КЕМ"/>
        <s v="НСК"/>
        <s v="ОМС"/>
        <s v="ТОМ"/>
        <s v="АЛ.Р"/>
        <s v="ТЫВ"/>
        <s v="ХАК"/>
        <s v="ПРИ"/>
        <s v="ХАБ"/>
        <s v="АМР"/>
        <s v="КМЧ"/>
        <s v="МАГ"/>
        <s v="САХ"/>
        <s v="ЗАБ"/>
        <s v="ЧУК"/>
        <s v="БУР"/>
        <s v="ЯКУ"/>
        <m/>
      </sharedItems>
    </cacheField>
    <cacheField name="male_abs_num" numFmtId="3">
      <sharedItems containsString="0" containsBlank="1" containsNumber="1" containsInteger="1">
        <n v="22.0"/>
        <n v="18.0"/>
        <n v="19.0"/>
        <n v="7.0"/>
        <n v="4.0"/>
        <n v="5.0"/>
        <n v="6.0"/>
        <n v="8.0"/>
        <n v="13.0"/>
        <n v="99.0"/>
        <n v="71.0"/>
        <n v="10.0"/>
        <n v="0.0"/>
        <n v="15.0"/>
        <n v="67.0"/>
        <n v="12.0"/>
        <n v="2.0"/>
        <n v="76.0"/>
        <n v="24.0"/>
        <n v="23.0"/>
        <n v="1.0"/>
        <n v="3.0"/>
        <n v="25.0"/>
        <n v="36.0"/>
        <n v="46.0"/>
        <n v="45.0"/>
        <n v="47.0"/>
        <n v="14.0"/>
        <n v="29.0"/>
        <n v="28.0"/>
        <n v="57.0"/>
        <n v="40.0"/>
        <n v="21.0"/>
        <n v="38.0"/>
        <n v="30.0"/>
        <n v="42.0"/>
        <n v="16.0"/>
        <m/>
      </sharedItems>
    </cacheField>
    <cacheField name="female_abs_num" numFmtId="3">
      <sharedItems containsString="0" containsBlank="1" containsNumber="1" containsInteger="1">
        <n v="17.0"/>
        <n v="13.0"/>
        <n v="9.0"/>
        <n v="8.0"/>
        <n v="7.0"/>
        <n v="10.0"/>
        <n v="1.0"/>
        <n v="20.0"/>
        <n v="6.0"/>
        <n v="93.0"/>
        <n v="59.0"/>
        <n v="5.0"/>
        <n v="14.0"/>
        <n v="12.0"/>
        <n v="11.0"/>
        <n v="15.0"/>
        <n v="69.0"/>
        <n v="18.0"/>
        <n v="3.0"/>
        <n v="2.0"/>
        <n v="44.0"/>
        <n v="29.0"/>
        <n v="19.0"/>
        <n v="4.0"/>
        <n v="33.0"/>
        <n v="39.0"/>
        <n v="16.0"/>
        <n v="21.0"/>
        <n v="36.0"/>
        <n v="38.0"/>
        <n v="56.0"/>
        <n v="26.0"/>
        <n v="27.0"/>
        <n v="47.0"/>
        <n v="31.0"/>
        <n v="0.0"/>
        <m/>
      </sharedItems>
    </cacheField>
    <cacheField name="male_population_0-14" numFmtId="3">
      <sharedItems containsString="0" containsBlank="1" containsNumber="1" containsInteger="1">
        <n v="121398.0"/>
        <n v="94158.0"/>
        <n v="103446.0"/>
        <n v="176987.0"/>
        <n v="71508.0"/>
        <n v="96124.0"/>
        <n v="86603.0"/>
        <n v="50857.0"/>
        <n v="87470.0"/>
        <n v="91417.0"/>
        <n v="1016163.0"/>
        <n v="788643.0"/>
        <n v="55049.0"/>
        <n v="82801.0"/>
        <n v="66265.0"/>
        <n v="65839.0"/>
        <n v="104160.0"/>
        <n v="102258.0"/>
        <n v="4491.0"/>
        <n v="83850.0"/>
        <n v="104017.0"/>
        <n v="88402.0"/>
        <n v="411656.0"/>
        <n v="137798.0"/>
        <n v="60596.0"/>
        <n v="49347.0"/>
        <n v="46383.0"/>
        <n v="43237.0"/>
        <n v="64853.0"/>
        <n v="535724.0"/>
        <n v="97133.0"/>
        <n v="192712.0"/>
        <n v="339364.0"/>
        <n v="47312.0"/>
        <n v="27376.0"/>
        <n v="170413.0"/>
        <n v="45455.0"/>
        <n v="255705.0"/>
        <n v="69361.0"/>
        <n v="393308.0"/>
        <n v="95244.0"/>
        <n v="65269.0"/>
        <n v="47054.0"/>
        <n v="240081.0"/>
        <n v="259855.0"/>
        <n v="93783.0"/>
        <n v="265143.0"/>
        <n v="172847.0"/>
        <n v="93988.0"/>
        <n v="246417.0"/>
        <n v="187141.0"/>
        <n v="96951.0"/>
        <n v="390869.0"/>
        <n v="63003.0"/>
        <n v="53273.0"/>
        <n v="377237.0"/>
        <n v="141628.0"/>
        <n v="110378.0"/>
        <n v="188899.0"/>
        <n v="57182.0"/>
        <n v="72665.0"/>
        <n v="405354.0"/>
        <n v="168565.0"/>
        <n v="321438.0"/>
        <n v="200445.0"/>
        <n v="275072.0"/>
        <n v="247759.0"/>
        <n v="232746.0"/>
        <n v="260495.0"/>
        <n v="174227.0"/>
        <n v="95155.0"/>
        <n v="27375.0"/>
        <n v="54068.0"/>
        <n v="55728.0"/>
        <n v="152383.0"/>
        <n v="117414.0"/>
        <n v="72856.0"/>
        <n v="27136.0"/>
        <n v="11905.0"/>
        <n v="39286.0"/>
        <n v="104230.0"/>
        <n v="5011.0"/>
        <n v="111710.0"/>
        <n v="114121.0"/>
        <n v="14297.0"/>
        <m/>
      </sharedItems>
    </cacheField>
    <cacheField name="female_population_0-14" numFmtId="3">
      <sharedItems containsString="0" containsBlank="1" containsNumber="1" containsInteger="1">
        <n v="114774.0"/>
        <n v="89345.0"/>
        <n v="97637.0"/>
        <n v="167519.0"/>
        <n v="66340.0"/>
        <n v="92030.0"/>
        <n v="82533.0"/>
        <n v="48582.0"/>
        <n v="82886.0"/>
        <n v="86872.0"/>
        <n v="950645.0"/>
        <n v="716596.0"/>
        <n v="51863.0"/>
        <n v="78418.0"/>
        <n v="62631.0"/>
        <n v="62032.0"/>
        <n v="98847.0"/>
        <n v="96464.0"/>
        <n v="4216.0"/>
        <n v="77390.0"/>
        <n v="99351.0"/>
        <n v="83316.0"/>
        <n v="391580.0"/>
        <n v="130346.0"/>
        <n v="57209.0"/>
        <n v="45991.0"/>
        <n v="43981.0"/>
        <n v="41592.0"/>
        <n v="62593.0"/>
        <n v="506078.0"/>
        <n v="92467.0"/>
        <n v="182093.0"/>
        <n v="320654.0"/>
        <n v="45142.0"/>
        <n v="25820.0"/>
        <n v="165590.0"/>
        <n v="42819.0"/>
        <n v="241614.0"/>
        <n v="65855.0"/>
        <n v="365406.0"/>
        <n v="91233.0"/>
        <n v="61682.0"/>
        <n v="44642.0"/>
        <n v="225308.0"/>
        <n v="245440.0"/>
        <n v="89642.0"/>
        <n v="249964.0"/>
        <n v="162175.0"/>
        <n v="90100.0"/>
        <n v="230772.0"/>
        <n v="175548.0"/>
        <n v="91473.0"/>
        <n v="369394.0"/>
        <n v="60417.0"/>
        <n v="51253.0"/>
        <n v="356931.0"/>
        <n v="134615.0"/>
        <n v="104542.0"/>
        <n v="179157.0"/>
        <n v="54716.0"/>
        <n v="68538.0"/>
        <n v="384083.0"/>
        <n v="160840.0"/>
        <n v="305342.0"/>
        <n v="190651.0"/>
        <n v="259983.0"/>
        <n v="234624.0"/>
        <n v="220980.0"/>
        <n v="247140.0"/>
        <n v="165123.0"/>
        <n v="90806.0"/>
        <n v="26112.0"/>
        <n v="52047.0"/>
        <n v="52555.0"/>
        <n v="148107.0"/>
        <n v="111524.0"/>
        <n v="69332.0"/>
        <n v="25885.0"/>
        <n v="11195.0"/>
        <n v="38478.0"/>
        <n v="99668.0"/>
        <n v="4195.0"/>
        <n v="106124.0"/>
        <n v="109749.0"/>
        <n v="13553.0"/>
        <m/>
      </sharedItems>
    </cacheField>
    <cacheField name="male_per_100k" numFmtId="4">
      <sharedItems containsString="0" containsBlank="1" containsNumber="1">
        <n v="18.122209591591293"/>
        <n v="19.116803670426304"/>
        <n v="18.367070742222996"/>
        <n v="3.9550927469249153"/>
        <n v="5.593779716954747"/>
        <n v="5.201614581165994"/>
        <n v="6.928166460746164"/>
        <n v="9.831488290697445"/>
        <n v="9.145992911855492"/>
        <n v="14.220549788332587"/>
        <n v="9.742531463948206"/>
        <n v="9.002806085896914"/>
        <n v="12.715943977183963"/>
        <n v="15.70029347471649"/>
        <n v="15.090922809929829"/>
        <n v="12.150852837983566"/>
        <n v="12.480798771121352"/>
        <n v="12.712941774726671"/>
        <n v="0.0"/>
        <n v="15.503875968992249"/>
        <n v="21.150388878740976"/>
        <n v="16.967941901766928"/>
        <n v="16.275725362924383"/>
        <n v="8.708399251077664"/>
        <n v="21.453561291174335"/>
        <n v="4.052931282550104"/>
        <n v="38.80732164801759"/>
        <n v="9.251335661586142"/>
        <n v="15.419487147857463"/>
        <n v="14.186409419775854"/>
        <n v="15.442743454850566"/>
        <n v="12.453817094939598"/>
        <n v="6.777383576336913"/>
        <n v="2.113628677713899"/>
        <n v="10.958503798947984"/>
        <n v="14.670242293721723"/>
        <n v="21.999780002199977"/>
        <n v="14.078723529066698"/>
        <n v="11.533859085076628"/>
        <n v="11.695668534583584"/>
        <n v="10.499349040359498"/>
        <n v="29.1102973846696"/>
        <n v="12.75130700896842"/>
        <n v="10.413152227789787"/>
        <n v="17.317350060610725"/>
        <n v="12.795495985413135"/>
        <n v="17.726283552648948"/>
        <n v="13.306565922463218"/>
        <n v="14.895518576839596"/>
        <n v="11.768668557769958"/>
        <n v="14.961980538738171"/>
        <n v="10.314488762364492"/>
        <n v="14.582890943001363"/>
        <n v="15.872260051108677"/>
        <n v="15.016987967638391"/>
        <n v="10.60341376906295"/>
        <n v="10.59112604852148"/>
        <n v="7.247821123774664"/>
        <n v="12.1758188238159"/>
        <n v="13.990416564653213"/>
        <n v="6.880891763572559"/>
        <n v="18.74904404545163"/>
        <n v="12.458102215762466"/>
        <n v="11.821875447209104"/>
        <n v="14.966699094514706"/>
        <n v="13.814564913913449"/>
        <n v="16.951957345646374"/>
        <n v="7.733752674589467"/>
        <n v="10.748766770955298"/>
        <n v="9.183421628105862"/>
        <n v="8.407335400136619"/>
        <n v="14.611872146118722"/>
        <n v="11.097136938669824"/>
        <n v="10.766580534022394"/>
        <n v="14.437305998700642"/>
        <n v="8.516871923280018"/>
        <n v="6.862852750631382"/>
        <n v="17.8180522323474"/>
        <n v="17.269500143912502"/>
        <n v="13.42762510070719"/>
        <n v="10.515154967096327"/>
        <n v="20.983423095754354"/>
        <m/>
      </sharedItems>
    </cacheField>
    <cacheField name="female_per_100k" numFmtId="4">
      <sharedItems containsString="0" containsBlank="1" containsNumber="1">
        <n v="14.811716939376515"/>
        <n v="14.550338575186077"/>
        <n v="9.217817016090212"/>
        <n v="4.7755776956643725"/>
        <n v="10.551703346397346"/>
        <n v="10.866021949364338"/>
        <n v="9.693092459985703"/>
        <n v="2.058375530031699"/>
        <n v="24.129527302560142"/>
        <n v="6.906713325352243"/>
        <n v="9.782831656401706"/>
        <n v="8.233369988110455"/>
        <n v="9.640784374216686"/>
        <n v="12.752174245708893"/>
        <n v="11.176573901103287"/>
        <n v="9.672427134382254"/>
        <n v="7.081651441116069"/>
        <n v="14.513186266379167"/>
        <n v="23.719165085388994"/>
        <n v="15.505879312572684"/>
        <n v="11.071856347696551"/>
        <n v="18.00374477891401"/>
        <n v="17.620920373869964"/>
        <n v="9.206266398662024"/>
        <n v="31.463580905102344"/>
        <n v="6.523015372572895"/>
        <n v="20.463381914917807"/>
        <n v="4.8086170417387955"/>
        <n v="12.780981898934387"/>
        <n v="8.69431194400863"/>
        <n v="9.73320211534926"/>
        <n v="7.688379015118648"/>
        <n v="9.04401629170383"/>
        <n v="2.215231934783572"/>
        <n v="3.872966692486444"/>
        <n v="11.474122833504438"/>
        <n v="9.341647399518905"/>
        <n v="13.65814894832253"/>
        <n v="9.110925518183889"/>
        <n v="10.673059555672321"/>
        <n v="9.864851533984414"/>
        <n v="12.969748062643884"/>
        <n v="2.2400430088257695"/>
        <n v="7.101390097111509"/>
        <n v="8.55606258148631"/>
        <n v="13.386582182459115"/>
        <n v="14.402073898641405"/>
        <n v="9.865885617388624"/>
        <n v="11.098779134295228"/>
        <n v="16.46646906903784"/>
        <n v="11.392895390434525"/>
        <n v="9.838968876061788"/>
        <n v="15.159964698939344"/>
        <n v="13.241306254862042"/>
        <n v="13.657737108071723"/>
        <n v="7.284321059252349"/>
        <n v="12.628607510307171"/>
        <n v="12.435193510742094"/>
        <n v="15.070580552253052"/>
        <n v="16.44857080195921"/>
        <n v="14.590446175844058"/>
        <n v="12.236938370091883"/>
        <n v="9.947774185525988"/>
        <n v="10.152550255123764"/>
        <n v="11.014891083707926"/>
        <n v="14.616340299173407"/>
        <n v="14.06505728314239"/>
        <n v="9.50312245452077"/>
        <n v="2.4277737314882253"/>
        <n v="10.295355583413576"/>
        <n v="12.11373697773275"/>
        <n v="11.488970588235293"/>
        <n v="9.606701635060618"/>
        <n v="7.6110741128341735"/>
        <n v="10.127813000060767"/>
        <n v="10.76001578135648"/>
        <n v="10.096348006692436"/>
        <n v="11.589723778249953"/>
        <n v="8.932559178204556"/>
        <n v="10.39555070429856"/>
        <n v="12.039972709395192"/>
        <n v="0.0"/>
        <n v="12.24982096415514"/>
        <n v="7.2893602675195215"/>
        <m/>
      </sharedItems>
    </cacheField>
    <cacheField name="total_per_100k" numFmtId="4">
      <sharedItems containsString="0" containsBlank="1" containsNumber="1">
        <n v="16.513388547329914"/>
        <n v="16.893456782722897"/>
        <n v="13.924598300204394"/>
        <n v="4.354060596912681"/>
        <n v="7.9798038419128305"/>
        <n v="7.972192990847923"/>
        <n v="8.277362595780911"/>
        <n v="6.0338498979273725"/>
        <n v="16.436168963816947"/>
        <n v="10.656854881680866"/>
        <n v="9.762010323325917"/>
        <n v="8.63650224316537"/>
        <n v="11.224184375935348"/>
        <n v="14.26630856164596"/>
        <n v="13.188927507447865"/>
        <n v="10.94853406949191"/>
        <n v="9.851877028870927"/>
        <n v="13.586819778383873"/>
        <n v="11.485012059262662"/>
        <n v="15.504837509302904"/>
        <n v="16.22674167027261"/>
        <n v="17.4705039658044"/>
        <n v="16.931512033823186"/>
        <n v="8.950414702547885"/>
        <n v="26.31467255209881"/>
        <n v="5.244498521051417"/>
        <n v="29.87915541587358"/>
        <n v="7.073052847493192"/>
        <n v="14.12362883103432"/>
        <n v="11.518503516023198"/>
        <n v="12.658227848101266"/>
        <n v="10.138605408145569"/>
        <n v="7.878573008614917"/>
        <n v="2.1632379345404202"/>
        <n v="7.519362358072035"/>
        <n v="13.095121174513324"/>
        <n v="15.859709540748124"/>
        <n v="13.874394503326839"/>
        <n v="10.353804283516743"/>
        <n v="11.203167464947267"/>
        <n v="10.188924103240614"/>
        <n v="21.26804830210081"/>
        <n v="7.633920781713488"/>
        <n v="8.80983435362675"/>
        <n v="13.061676842240672"/>
        <n v="13.084366907455363"/>
        <n v="16.113157072219945"/>
        <n v="11.641026559449827"/>
        <n v="13.037243057668071"/>
        <n v="14.040558353189196"/>
        <n v="13.23447912674495"/>
        <n v="10.083641149747379"/>
        <n v="14.863277576312406"/>
        <n v="14.584346135148275"/>
        <n v="14.350496527179839"/>
        <n v="8.989768009501914"/>
        <n v="11.584003938561338"/>
        <n v="9.77107761027359"/>
        <n v="13.584889255982786"/>
        <n v="15.192407370998588"/>
        <n v="10.62300376054333"/>
        <n v="15.580723984307804"/>
        <n v="11.232373521956255"/>
        <n v="11.008647372283736"/>
        <n v="13.04027655613967"/>
        <n v="14.204147237199914"/>
        <n v="15.547811593692149"/>
        <n v="8.5954959601169"/>
        <n v="6.697725728131433"/>
        <n v="9.724473257698541"/>
        <n v="10.217196078747694"/>
        <n v="13.087292239235703"/>
        <n v="10.366112236724309"/>
        <n v="9.235059981714581"/>
        <n v="12.313221737828215"/>
        <n v="9.609588622247072"/>
        <n v="8.439530762089628"/>
        <n v="5.658135455762811"/>
        <n v="4.329004329004329"/>
        <n v="14.145362892855305"/>
        <n v="14.713238972427389"/>
        <n v="0.0"/>
        <n v="12.853824471845533"/>
        <n v="8.933756197793361"/>
        <n v="10.771992818671455"/>
        <m/>
      </sharedItems>
    </cacheField>
    <cacheField name="total_death_risk_group" numFmtId="0">
      <sharedItems containsBlank="1">
        <s v="Высокий"/>
        <s v="Низкий"/>
        <s v="Средний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95" sheet="cancer_by_type_edit"/>
  </cacheSource>
  <cacheFields>
    <cacheField name="localization" numFmtId="0">
      <sharedItems containsBlank="1">
        <s v="Большие слюнные железы"/>
        <s v="Другие и неуточненные части полости рта"/>
        <s v="Ротоглотка"/>
        <s v="Носоглотка"/>
        <s v="Печень и внутрипеч. желчные протоки"/>
        <s v="Полость носа, среднее ухо, придаточные пазухи"/>
        <s v="Кости и суставные хрящи"/>
        <s v="Меланома кожи"/>
        <s v="Соединительная и другие мягкие ткани"/>
        <s v="Яичник"/>
        <s v="Яичко"/>
        <s v="Почка"/>
        <s v="Мочевой пузырь"/>
        <s v="Глаз и его придаточный аппарат"/>
        <s v="Головной мозг и др. отделы ЦНС"/>
        <s v="Щитовидная железа"/>
        <s v="Лимфома Ходжкина"/>
        <s v="Неходжкинская лимфома, другие ЗНО лимфоидной ткани"/>
        <s v="Злокачественные иммунопролиферативные НО"/>
        <s v="Острый лимфолейкоз"/>
        <s v="Другие лимфолейкозы"/>
        <s v="Острый миелолейкоз"/>
        <s v="Хронический миелолейкоз"/>
        <s v="Другие острые лейкозы (моноцитарный и т.д.)"/>
        <s v="Другие лейкозы"/>
        <s v="Другие неуточненные ЗНО лимфатической и кроветворной ткани"/>
        <m/>
      </sharedItems>
    </cacheField>
    <cacheField name="male_abs_num_0-14" numFmtId="3">
      <sharedItems containsString="0" containsBlank="1" containsNumber="1" containsInteger="1">
        <n v="2.0"/>
        <n v="1.0"/>
        <n v="0.0"/>
        <n v="3.0"/>
        <n v="25.0"/>
        <n v="77.0"/>
        <n v="86.0"/>
        <n v="15.0"/>
        <n v="92.0"/>
        <n v="36.0"/>
        <n v="233.0"/>
        <n v="17.0"/>
        <n v="76.0"/>
        <n v="160.0"/>
        <n v="480.0"/>
        <n v="14.0"/>
        <n v="66.0"/>
        <n v="10.0"/>
        <n v="18.0"/>
        <n v="16.0"/>
        <m/>
      </sharedItems>
    </cacheField>
    <cacheField name="female_abs_num_0-14" numFmtId="3">
      <sharedItems containsString="0" containsBlank="1" containsNumber="1" containsInteger="1">
        <n v="3.0"/>
        <n v="2.0"/>
        <n v="0.0"/>
        <n v="19.0"/>
        <n v="75.0"/>
        <n v="4.0"/>
        <n v="80.0"/>
        <n v="40.0"/>
        <n v="92.0"/>
        <n v="36.0"/>
        <n v="210.0"/>
        <n v="42.0"/>
        <n v="56.0"/>
        <n v="58.0"/>
        <n v="1.0"/>
        <n v="355.0"/>
        <n v="7.0"/>
        <n v="65.0"/>
        <n v="9.0"/>
        <n v="10.0"/>
        <n v="13.0"/>
        <m/>
      </sharedItems>
    </cacheField>
    <cacheField name="male_share%" numFmtId="10">
      <sharedItems containsString="0" containsBlank="1" containsNumber="1">
        <n v="0.0013850415512465374"/>
        <n v="6.925207756232687E-4"/>
        <n v="0.0"/>
        <n v="0.002077562326869806"/>
        <n v="0.01731301939058172"/>
        <n v="0.05332409972299169"/>
        <n v="0.05955678670360111"/>
        <n v="0.01038781163434903"/>
        <n v="0.06371191135734072"/>
        <n v="0.024930747922437674"/>
        <n v="0.16135734072022162"/>
        <n v="0.011772853185595568"/>
        <n v="0.05263157894736842"/>
        <n v="0.11080332409972299"/>
        <n v="0.33240997229916897"/>
        <n v="0.009695290858725761"/>
        <n v="0.045706371191135735"/>
        <n v="0.006925207756232687"/>
        <n v="0.012465373961218837"/>
        <n v="0.0110803324099723"/>
        <m/>
      </sharedItems>
    </cacheField>
    <cacheField name="female_share%" numFmtId="10">
      <sharedItems containsString="0" containsBlank="1" containsNumber="1">
        <n v="0.0025252525252525255"/>
        <n v="0.0016835016835016834"/>
        <n v="0.0"/>
        <n v="0.015993265993265993"/>
        <n v="0.06313131313131314"/>
        <n v="0.003367003367003367"/>
        <n v="0.06734006734006734"/>
        <n v="0.03367003367003367"/>
        <n v="0.07744107744107744"/>
        <n v="0.030303030303030304"/>
        <n v="0.17676767676767677"/>
        <n v="0.03535353535353535"/>
        <n v="0.04713804713804714"/>
        <n v="0.04882154882154882"/>
        <n v="8.417508417508417E-4"/>
        <n v="0.2988215488215488"/>
        <n v="0.005892255892255892"/>
        <n v="0.054713804713804715"/>
        <n v="0.007575757575757576"/>
        <n v="0.008417508417508417"/>
        <n v="0.010942760942760943"/>
        <m/>
      </sharedItems>
    </cacheField>
    <cacheField name="male_rate_per100k" numFmtId="4">
      <sharedItems containsString="0" containsBlank="1" containsNumber="1">
        <n v="0.015223802842009963"/>
        <n v="0.0076150732760425985"/>
        <n v="0.0"/>
        <n v="0.022866965634456917"/>
        <n v="0.19065830729131514"/>
        <n v="0.022891830302556742"/>
        <n v="0.5879099450235485"/>
        <n v="0.6575326713457508"/>
        <n v="0.11484924122934627"/>
        <n v="0.7049159150245318"/>
        <n v="0.023002356514750414"/>
        <n v="0.27620918242082004"/>
        <n v="1.7888924214609048"/>
        <n v="0.13060924449159353"/>
        <n v="0.5840871451872334"/>
        <n v="1.2301056360903153"/>
        <n v="0.007691133315412992"/>
        <n v="3.693222759269816"/>
        <n v="0.10776720590040849"/>
        <n v="0.5082801140950234"/>
        <n v="0.07705334449271237"/>
        <n v="0.13877586579756995"/>
        <n v="0.0771384415180691"/>
        <n v="0.12348772875426428"/>
        <m/>
      </sharedItems>
    </cacheField>
    <cacheField name="female_rate_per100k" numFmtId="4">
      <sharedItems containsString="0" containsBlank="1" containsNumber="1">
        <n v="0.02449815728943895"/>
        <n v="0.016340603540191758"/>
        <n v="0.0"/>
        <n v="0.024538056767485633"/>
        <n v="0.15549095860994358"/>
        <n v="0.016376275722113927"/>
        <n v="0.614442344417054"/>
        <n v="0.03278864024443276"/>
        <n v="0.6559994594564453"/>
        <n v="0.3281267547090906"/>
        <n v="0.7553178274793328"/>
        <n v="0.024642468583932865"/>
        <n v="0.2958643343681188"/>
        <n v="1.7269191499215815"/>
        <n v="0.3456023540457487"/>
        <n v="0.4610831419357999"/>
        <n v="0.4778384696712216"/>
        <n v="0.008243830749867913"/>
        <n v="2.9283332908518784"/>
        <n v="0.05777579212468082"/>
        <n v="0.536799948863611"/>
        <n v="0.07436965519748862"/>
        <n v="0.08268931449814078"/>
        <n v="0.02482531460500566"/>
        <n v="0.1076598581192137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2" sheet="cancer_by_age_type_edit"/>
  </cacheSource>
  <cacheFields>
    <cacheField name="localization" numFmtId="0">
      <sharedItems containsBlank="1">
        <s v="Губа"/>
        <s v="Язык"/>
        <s v="Большие слюнные железы"/>
        <s v="Другие и неуточненные части полости рта"/>
        <s v="Ротоглотка"/>
        <s v="Носоглотка"/>
        <s v="Гортаноглотка"/>
        <s v="Пищевод"/>
        <s v="Желудок"/>
        <s v="Тонкий кишечник"/>
        <s v="Ободочная кишка"/>
        <s v="Прямая кишка, ректосиг. соединение,  анус"/>
        <s v="Печень и внутрипеч. желчные протоки"/>
        <s v="Желчный пузырь и внепеченочные желчные протоки"/>
        <s v="Поджелудочная железа"/>
        <s v="Плости носа, среднее ухо, придаточные пазухи"/>
        <s v="Гортань"/>
        <s v="Трахея, бронхи, легкое"/>
        <s v="Випочковая железа"/>
        <s v="Сердце, средостение и плевра"/>
        <s v="Кости и суставные хрящи"/>
        <s v="Меланома кожи"/>
        <s v="Кожа (кроме меланомы)"/>
        <s v="Мезотелиома"/>
        <s v="Саркома Капоши"/>
        <s v="Переферические нервы и вегетативная нервная система"/>
        <s v="Забрюшиннное пространство и брюшина"/>
        <s v="Соединительная и другие мягкие ткани"/>
        <s v="Молочная железа"/>
        <s v="Почка"/>
        <s v="Мочевой пузырь"/>
        <s v="Глаз и его придаточный аппарат"/>
        <s v="Мозговые оболочки"/>
        <s v="Головной мозг"/>
        <s v="Спинной мозг, черепные нервы и другие отделы ЦНС"/>
        <s v="Щитовидная железа"/>
        <s v="Надпочечники"/>
        <s v="Лимфома Ходжкина"/>
        <s v="Неходжкинская лимфома, другие ЗНО лимоидной ткани"/>
        <s v="Злокачественные иммунопролиферативные НО"/>
        <s v="Острый лимфолейкоз"/>
        <s v="Другие лимфолейкозы"/>
        <s v="Острый миелолейкоз"/>
        <s v="Хронический миелолейкоз"/>
        <s v="Острый промиелоцитарный лейкоз"/>
        <s v="Другие острые лейкозы (моноцитарный и т.д.)"/>
        <s v="Другие лейкозы"/>
        <s v="Другие неуточненные ЗНО лимфатической и кроветворной ткани"/>
        <m/>
      </sharedItems>
    </cacheField>
    <cacheField name="abs_num_0-4" numFmtId="3">
      <sharedItems containsString="0" containsBlank="1" containsNumber="1" containsInteger="1">
        <n v="0.0"/>
        <n v="1.0"/>
        <n v="29.0"/>
        <n v="3.0"/>
        <n v="21.0"/>
        <n v="20.0"/>
        <n v="18.0"/>
        <n v="92.0"/>
        <n v="64.0"/>
        <n v="139.0"/>
        <n v="6.0"/>
        <n v="58.0"/>
        <n v="4.0"/>
        <n v="134.0"/>
        <n v="11.0"/>
        <n v="65.0"/>
        <n v="7.0"/>
        <n v="50.0"/>
        <n v="382.0"/>
        <n v="8.0"/>
        <n v="2.0"/>
        <n v="15.0"/>
        <m/>
      </sharedItems>
    </cacheField>
    <cacheField name="abs_num_5-9" numFmtId="3">
      <sharedItems containsString="0" containsBlank="1" containsNumber="1" containsInteger="1">
        <n v="0.0"/>
        <n v="1.0"/>
        <n v="2.0"/>
        <n v="10.0"/>
        <n v="41.0"/>
        <n v="6.0"/>
        <n v="18.0"/>
        <n v="48.0"/>
        <n v="32.0"/>
        <n v="9.0"/>
        <n v="4.0"/>
        <n v="155.0"/>
        <n v="14.0"/>
        <n v="8.0"/>
        <n v="13.0"/>
        <n v="30.0"/>
        <n v="89.0"/>
        <n v="291.0"/>
        <n v="26.0"/>
        <n v="7.0"/>
        <m/>
      </sharedItems>
    </cacheField>
    <cacheField name="abs_num_10-14 " numFmtId="3">
      <sharedItems containsString="0" containsBlank="1" containsNumber="1" containsInteger="1">
        <n v="0.0"/>
        <n v="3.0"/>
        <n v="2.0"/>
        <n v="4.0"/>
        <n v="1.0"/>
        <n v="14.0"/>
        <n v="5.0"/>
        <n v="12.0"/>
        <n v="91.0"/>
        <n v="6.0"/>
        <n v="54.0"/>
        <n v="13.0"/>
        <n v="112.0"/>
        <n v="50.0"/>
        <n v="95.0"/>
        <n v="79.0"/>
        <n v="162.0"/>
        <n v="40.0"/>
        <n v="15.0"/>
        <m/>
      </sharedItems>
    </cacheField>
    <cacheField name="rate_0-4_per100k" numFmtId="4">
      <sharedItems containsString="0" containsBlank="1" containsNumber="1">
        <n v="0.0"/>
        <n v="0.013897951511436973"/>
        <n v="0.4030405938316721"/>
        <n v="0.04169385453431092"/>
        <n v="0.29185698174017644"/>
        <n v="0.2779590302287394"/>
        <n v="0.2501631272058655"/>
        <n v="1.2786115390522013"/>
        <n v="0.8894688967319663"/>
        <n v="1.931815260089739"/>
        <n v="0.08338770906862183"/>
        <n v="0.8060811876633442"/>
        <n v="0.05559180604574789"/>
        <n v="1.8623255025325542"/>
        <n v="0.1528774666258067"/>
        <n v="0.9033668482434031"/>
        <n v="0.0972856605800588"/>
        <n v="0.6948975755718486"/>
        <n v="5.309017477368923"/>
        <n v="0.11118361209149578"/>
        <n v="0.027795903022873946"/>
        <n v="0.20846927267155457"/>
        <m/>
      </sharedItems>
    </cacheField>
    <cacheField name="rate_5-9_per100k" numFmtId="4">
      <sharedItems containsString="0" containsBlank="1" containsNumber="1">
        <n v="0.0"/>
        <n v="0.010668636523714406"/>
        <n v="0.02133727304742881"/>
        <n v="0.10668636523714405"/>
        <n v="0.4374140974722906"/>
        <n v="0.06401181914228643"/>
        <n v="0.1920354574268593"/>
        <n v="0.5120945531382914"/>
        <n v="0.341396368758861"/>
        <n v="0.09601772871342965"/>
        <n v="0.04267454609485762"/>
        <n v="1.6536386611757328"/>
        <n v="0.1493609113320017"/>
        <n v="0.08534909218971524"/>
        <n v="0.13869227480828725"/>
        <n v="0.32005909571143215"/>
        <n v="0.9495086506105821"/>
        <n v="3.1045732284008922"/>
        <n v="0.2773845496165745"/>
        <n v="0.07468045566600084"/>
        <m/>
      </sharedItems>
    </cacheField>
    <cacheField name="rate_10-14_per100k" numFmtId="4">
      <sharedItems containsString="0" containsBlank="1" containsNumber="1">
        <n v="0.0"/>
        <n v="0.03343656314929626"/>
        <n v="0.022291042099530842"/>
        <n v="0.044582084199061685"/>
        <n v="0.011145521049765421"/>
        <n v="0.15603729469671587"/>
        <n v="0.0557276052488271"/>
        <n v="0.13374625259718503"/>
        <n v="1.0142424155286531"/>
        <n v="0.06687312629859252"/>
        <n v="0.6018581366873327"/>
        <n v="0.14489177364695047"/>
        <n v="1.248298357573727"/>
        <n v="0.557276052488271"/>
        <n v="1.058824499727715"/>
        <n v="0.8804961629314682"/>
        <n v="1.805574410061998"/>
        <n v="0.4458208419906168"/>
        <n v="0.1671828157464813"/>
        <m/>
      </sharedItems>
    </cacheField>
    <cacheField name="outliers_0-4" numFmtId="0">
      <sharedItems containsBlank="1">
        <s v="Нет"/>
        <s v="Выброс"/>
        <m/>
      </sharedItems>
    </cacheField>
    <cacheField name="outliers_5-9" numFmtId="0">
      <sharedItems containsBlank="1">
        <s v="Нет"/>
        <s v="Выброс"/>
        <m/>
      </sharedItems>
    </cacheField>
    <cacheField name="outliers_10-14" numFmtId="0">
      <sharedItems containsBlank="1">
        <s v="Нет"/>
        <s v="Выброс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99" sheet="death_cancer_by_region_edit"/>
  </cacheSource>
  <cacheFields>
    <cacheField name="region" numFmtId="0">
      <sharedItems containsBlank="1">
        <s v="Белгородская область"/>
        <s v="Брянская область"/>
        <s v="Владимирская область"/>
        <s v="Воронежская область"/>
        <s v="Ивановская область"/>
        <s v="Тверская область"/>
        <s v="Калужская область"/>
        <s v="Костромская область"/>
        <s v="Курская область"/>
        <s v="Липецкая область"/>
        <s v="г. Москва"/>
        <s v="Московская область"/>
        <s v="Орловская область"/>
        <s v="Рязанская область"/>
        <s v="Смоленская область"/>
        <s v="Тамбовская область"/>
        <s v="Тульская область"/>
        <s v="Ярославская область"/>
        <s v="Ненецкий АО"/>
        <s v="Архангельская область"/>
        <s v="Вологодская область"/>
        <s v="Калининградская область"/>
        <s v="г. Санкт-Петербург"/>
        <s v="Ленинградская область"/>
        <s v="Мурманская область"/>
        <s v="Новгородская область"/>
        <s v="Псковская область"/>
        <s v="Республика Карелия"/>
        <s v="Республика Коми"/>
        <s v="Краснодарский край"/>
        <s v="Астраханская область"/>
        <s v="Волгоградская область"/>
        <s v="Ростовская область"/>
        <s v="Республика Адыгея"/>
        <s v="Республика Калмыкия"/>
        <s v="Республика Крым"/>
        <s v="г. Севастополь"/>
        <s v="Ставропольский край"/>
        <s v="Республика Ингушетия"/>
        <s v="Республика Дагестан"/>
        <s v="Республика Кабардино-Балкария"/>
        <s v="Республика Северная Осетия-Алания"/>
        <s v="Республика Карачаево-Черкессия"/>
        <s v="Республика Чечня"/>
        <s v="Нижегородская область"/>
        <s v="Кировская область"/>
        <s v="Самарская область"/>
        <s v="Оренбургская область"/>
        <s v="Пензенская область"/>
        <s v="Пермский край"/>
        <s v="Саратовская область"/>
        <s v="Ульяновская область"/>
        <s v="Республика Башкортостан"/>
        <s v="Республика Марий Эл"/>
        <s v="Республика Мордовия"/>
        <s v="Республика Татарстан"/>
        <s v="Республика Удмуртия"/>
        <s v="Республика Чувашия"/>
        <s v="Ханты-Мансийский АО"/>
        <s v="Ямало-Ненецкий АО"/>
        <s v="Курганская область"/>
        <s v="Свердловская область"/>
        <s v="Тюменская область"/>
        <s v="Челябинская область"/>
        <s v="Алтайский край"/>
        <s v="Красноярский край"/>
        <s v="Иркутская область"/>
        <s v="Кемеровская область"/>
        <s v="Новосибирская область"/>
        <s v="Омская область"/>
        <s v="Томская область"/>
        <s v="Республика Алтай"/>
        <s v="Республика Тыва"/>
        <s v="Республика Хакасия"/>
        <s v="Приморский край"/>
        <s v="Хабаровский край"/>
        <s v="Амурская область"/>
        <s v="Камчатский край"/>
        <s v="Магаданская область"/>
        <s v="Сахалинская область"/>
        <s v="Забайкальский край"/>
        <s v="Чукотский АО"/>
        <s v="Республика Бурятия"/>
        <s v="Республика Саха (Якутия)"/>
        <s v="Еврейская АО"/>
        <m/>
      </sharedItems>
    </cacheField>
    <cacheField name="region_english" numFmtId="0">
      <sharedItems containsBlank="1">
        <s v="Belgorod Oblast"/>
        <s v="Bryansk Oblast"/>
        <s v="Vladimir Oblast"/>
        <s v="Voronezh Oblast"/>
        <s v="Ivanovo Oblast"/>
        <s v="Tver Oblast"/>
        <s v="Kaluga Oblast"/>
        <s v="Kostroma Oblast"/>
        <s v="Kursk Oblast"/>
        <s v="Lipetsk Oblast"/>
        <s v="Moscow"/>
        <s v="Moscow region"/>
        <s v="Oryol Oblast"/>
        <s v="Ryazan Oblast"/>
        <s v="Smolensk region"/>
        <s v="Tambov Oblast"/>
        <s v="Tula Oblast"/>
        <s v="Yaroslavl Oblast"/>
        <s v="Nenets Autonomous Okrug"/>
        <s v="Arkhangelsk Oblast"/>
        <s v="Vologda Oblast"/>
        <s v="Kaliningrad Oblast"/>
        <s v="Saint Petersburg"/>
        <s v="Leningrad Oblast"/>
        <s v="Murmansk Oblast"/>
        <s v="Novgorod Oblast"/>
        <s v="Pskov Oblast"/>
        <s v="Karelia"/>
        <s v="Komi"/>
        <s v="Krasnodar Krai"/>
        <s v="Astrakhan region"/>
        <s v="Volgograd Oblast"/>
        <s v="Rostov Oblast"/>
        <s v="Adygea"/>
        <s v="Kalmykia"/>
        <s v="Crimea"/>
        <s v="Sevastopol"/>
        <s v="Stavropol Krai"/>
        <s v="Ingushetia"/>
        <s v="Dagestan"/>
        <s v="Kabardino-Balkaria"/>
        <s v="North Ossetia-Alania"/>
        <s v="Karachay-Cherkessia"/>
        <s v="Chechnya"/>
        <s v="Nizhny Novgorod Oblast"/>
        <s v="Kirov Oblast"/>
        <s v="Samara Oblast"/>
        <s v="Orenburg region"/>
        <s v="Penza Oblast"/>
        <s v="Perm Krai"/>
        <s v="Saratov Oblast"/>
        <s v="Ulyanovsk Oblast"/>
        <s v="Bashkortostan"/>
        <s v="Mari El"/>
        <s v="Mordovia"/>
        <s v="Tatarstan"/>
        <s v="Udmurtia"/>
        <s v="Chuvashia"/>
        <s v="Khanty-Mansi Autonomous Okrug - Yugra"/>
        <s v="Yamalo-Nenets Autonomous Okrug"/>
        <s v="Kurgan Oblast"/>
        <s v="Sverdlovsk Oblast"/>
        <s v="Tyumen Oblast"/>
        <s v="Chelyabinsk Oblast"/>
        <s v="Altai Krai"/>
        <s v="Krasnoyarsk Krai"/>
        <s v="Irkutsk Oblast"/>
        <s v="Kemerovo Oblast - Kuzbass"/>
        <s v="Novosibirsk Oblast"/>
        <s v="Omsk Oblast"/>
        <s v="Tomsk Oblast"/>
        <s v="Altai"/>
        <s v="Tuva"/>
        <s v="Khakassia"/>
        <s v="Primorsky Krai"/>
        <s v="Khabarovsk Krai"/>
        <s v="Amur Oblast"/>
        <s v="Kamchatka Krai"/>
        <s v="Magadan Oblast"/>
        <s v="Sakhalin Oblast"/>
        <s v="Transbaikal Territory"/>
        <s v="Chukotka Autonomous Okrug"/>
        <s v="Buryatia"/>
        <s v="Sakha - Yakutia"/>
        <m/>
      </sharedItems>
    </cacheField>
    <cacheField name="squares code" numFmtId="0">
      <sharedItems containsBlank="1">
        <s v="БЕЛ"/>
        <s v="БРЯ"/>
        <s v="ВЛД"/>
        <s v="ВРЖ"/>
        <s v="ИВА"/>
        <s v="ТВР"/>
        <s v="КЛУ"/>
        <s v="КОС"/>
        <s v="КУР"/>
        <s v="ЛИП"/>
        <s v="МСК"/>
        <s v="МО"/>
        <s v="ОРЛ"/>
        <s v="РЯЗ"/>
        <s v="СМЛ"/>
        <s v="ТМБ"/>
        <s v="ТУЛ"/>
        <s v="ЯРС"/>
        <s v="НАО"/>
        <s v="АРХ"/>
        <s v="ВЛГ"/>
        <s v="КГД"/>
        <s v="СПБ"/>
        <s v="ЛО"/>
        <s v="МУР"/>
        <s v="НВГ"/>
        <s v="ПСК"/>
        <s v="КРЛ"/>
        <s v="КОМ"/>
        <s v="КДА"/>
        <s v="АСТ"/>
        <s v="ВГГ"/>
        <s v="РСТ"/>
        <s v="АДГ"/>
        <s v="КЛМ"/>
        <s v="КРМ"/>
        <s v="СЕВ"/>
        <s v="СТВ"/>
        <s v="ИНГ"/>
        <s v="ДАГ"/>
        <s v="КБР"/>
        <s v="ОСЕ"/>
        <s v="КЧР"/>
        <s v="ЧЕЧ"/>
        <s v="НИЖ"/>
        <s v="КИР"/>
        <s v="САМ"/>
        <s v="ОРБ"/>
        <s v="ПЕНЗ"/>
        <s v="ПЕР"/>
        <s v="САР"/>
        <s v="УЛН"/>
        <s v="БАШ"/>
        <s v="М-Э"/>
        <s v="МРД"/>
        <s v="ТАТ"/>
        <s v="УДМ"/>
        <s v="ЧУВ"/>
        <s v="Х-М"/>
        <s v="Я-Н"/>
        <s v="КГН"/>
        <s v="СВР"/>
        <s v="ТЮМ"/>
        <s v="ЧЕЛ"/>
        <s v="АЛК"/>
        <s v="КЯР"/>
        <s v="ИРК"/>
        <s v="КЕМ"/>
        <s v="НСК"/>
        <s v="ОМС"/>
        <s v="ТОМ"/>
        <s v="АЛ.Р"/>
        <s v="ТЫВ"/>
        <s v="ХАК"/>
        <s v="ПРИ"/>
        <s v="ХАБ"/>
        <s v="АМР"/>
        <s v="КМЧ"/>
        <s v="МАГ"/>
        <s v="САХ"/>
        <s v="ЗАБ"/>
        <s v="ЧУК"/>
        <s v="БУР"/>
        <s v="ЯКУ"/>
        <m/>
      </sharedItems>
    </cacheField>
    <cacheField name="male_death_abs_num" numFmtId="3">
      <sharedItems containsString="0" containsBlank="1" containsNumber="1" containsInteger="1">
        <n v="9.0"/>
        <n v="2.0"/>
        <n v="4.0"/>
        <n v="1.0"/>
        <n v="3.0"/>
        <n v="67.0"/>
        <n v="20.0"/>
        <n v="5.0"/>
        <n v="0.0"/>
        <n v="14.0"/>
        <n v="7.0"/>
        <n v="26.0"/>
        <n v="6.0"/>
        <n v="10.0"/>
        <n v="8.0"/>
        <n v="11.0"/>
        <n v="12.0"/>
        <m/>
      </sharedItems>
    </cacheField>
    <cacheField name="female_death_abs_num" numFmtId="3">
      <sharedItems containsString="0" containsBlank="1" containsNumber="1" containsInteger="1">
        <n v="2.0"/>
        <n v="1.0"/>
        <n v="3.0"/>
        <n v="4.0"/>
        <n v="54.0"/>
        <n v="14.0"/>
        <n v="0.0"/>
        <n v="12.0"/>
        <n v="11.0"/>
        <n v="7.0"/>
        <n v="8.0"/>
        <n v="6.0"/>
        <n v="5.0"/>
        <m/>
      </sharedItems>
    </cacheField>
    <cacheField name="male_death_rate_per100k" numFmtId="4">
      <sharedItems containsString="0" containsBlank="1" containsNumber="1">
        <n v="7.413631196560075"/>
        <n v="2.124089296714034"/>
        <n v="3.866751735204841"/>
        <n v="2.260052998242809"/>
        <n v="1.3984449292386867"/>
        <n v="3.1209687486995965"/>
        <n v="1.1546944101243606"/>
        <n v="1.9662976581394893"/>
        <n v="2.286498227963873"/>
        <n v="1.0938884452563529"/>
        <n v="6.59343038469222"/>
        <n v="2.536001714337159"/>
        <n v="3.6331268506239893"/>
        <n v="6.038574413352496"/>
        <n v="1.5090922809929828"/>
        <n v="3.0377132094958914"/>
        <n v="1.9201228878648233"/>
        <n v="2.9337557941676935"/>
        <n v="0.0"/>
        <n v="1.9227626253400887"/>
        <n v="2.262392253568924"/>
        <n v="3.4008978370289755"/>
        <n v="5.079899563128638"/>
        <n v="3.3005478909498978"/>
        <n v="4.052931282550104"/>
        <n v="2.155962313778755"/>
        <n v="4.625667830793071"/>
        <n v="4.853245327818056"/>
        <n v="1.0295162303233711"/>
        <n v="2.594545228112416"/>
        <n v="1.768013106870499"/>
        <n v="6.340886033141698"/>
        <n v="2.3472387669954755"/>
        <n v="4.399956000439996"/>
        <n v="2.3464539215111166"/>
        <n v="2.883464771269157"/>
        <n v="1.779775646567067"/>
        <n v="4.199739616143799"/>
        <n v="6.37565350448421"/>
        <n v="1.666104356446366"/>
        <n v="0.38483000134690504"/>
        <n v="2.1325826642355223"/>
        <n v="3.7715496920529676"/>
        <n v="5.206917100094303"/>
        <n v="5.319828063156999"/>
        <n v="2.0290807858224067"/>
        <n v="2.13742579124831"/>
        <n v="6.188693257418697"/>
        <n v="2.0467215358598407"/>
        <n v="1.5872260051108678"/>
        <n v="2.915938786492311"/>
        <n v="2.1182252097042955"/>
        <n v="1.811955280943666"/>
        <n v="1.5881502813672916"/>
        <n v="3.497604141163303"/>
        <n v="2.7523567054290234"/>
        <n v="2.960375375597626"/>
        <n v="2.3729718506214224"/>
        <n v="2.177713898170098"/>
        <n v="2.993339818902941"/>
        <n v="1.454164727780363"/>
        <n v="4.439798352431193"/>
        <n v="3.8668763372947335"/>
        <n v="1.9194226376705887"/>
        <n v="1.721891555269849"/>
        <n v="1.0509169250170773"/>
        <n v="1.849522823111637"/>
        <n v="3.588860178007465"/>
        <n v="5.906170635832081"/>
        <n v="2.5550615769840053"/>
        <n v="4.11771165037883"/>
        <n v="0.9594166746618056"/>
        <n v="5.371050040282875"/>
        <n v="0.876262913924694"/>
        <m/>
      </sharedItems>
    </cacheField>
    <cacheField name="female_death_rate_per100k" numFmtId="4">
      <sharedItems containsString="0" containsBlank="1" containsNumber="1">
        <n v="1.7425549340442956"/>
        <n v="1.119256813475852"/>
        <n v="1.02420189067669"/>
        <n v="1.7908416358741397"/>
        <n v="3.0147723846849566"/>
        <n v="3.259806584809301"/>
        <n v="4.8465462299928515"/>
        <n v="2.058375530031699"/>
        <n v="2.412952730256014"/>
        <n v="1.151118887558707"/>
        <n v="5.680353865007443"/>
        <n v="1.9536810141279048"/>
        <n v="1.9281568748433373"/>
        <n v="2.5504348491417788"/>
        <n v="3.1933068288866533"/>
        <n v="3.2241423781274183"/>
        <n v="2.0233289831760195"/>
        <n v="2.0733123237684525"/>
        <n v="0.0"/>
        <n v="1.006532395245141"/>
        <n v="1.200249651927601"/>
        <n v="3.0645078911078194"/>
        <n v="1.7479767169501303"/>
        <n v="2.1743384575242986"/>
        <n v="2.2737091016575337"/>
        <n v="2.1735779860021576"/>
        <n v="1.0814669017054732"/>
        <n v="1.098339859302664"/>
        <n v="2.1830384152388556"/>
        <n v="1.2078024035267831"/>
        <n v="3.3110664117145525"/>
        <n v="1.5184875863639815"/>
        <n v="2.1893455498815015"/>
        <n v="2.192189229774314"/>
        <n v="3.106858167486285"/>
        <n v="2.4445893089960884"/>
        <n v="2.2310970304098525"/>
        <n v="2.000288041477973"/>
        <n v="1.849853553260367"/>
        <n v="1.1098779134295227"/>
        <n v="0.43332813339573256"/>
        <n v="1.1392895390434525"/>
        <n v="4.372875056027461"/>
        <n v="2.9778502087202283"/>
        <n v="1.6551632818577553"/>
        <n v="1.9511053011531034"/>
        <n v="1.400830972933144"/>
        <n v="2.22857779593656"/>
        <n v="3.349017900500678"/>
        <n v="1.0414415634120748"/>
        <n v="4.35215120616762"/>
        <n v="1.637508105665123"/>
        <n v="2.0980744921348435"/>
        <n v="1.9232026709438694"/>
        <n v="3.409710856519367"/>
        <n v="1.3575889220743957"/>
        <n v="1.2138868657441126"/>
        <n v="3.0280457598275223"/>
        <n v="1.1012488161575227"/>
        <n v="3.8426806540242473"/>
        <n v="3.8055370564170867"/>
        <n v="4.051125200024306"/>
        <n v="1.793335963559413"/>
        <n v="1.4423354295274908"/>
        <n v="2.0066621182325317"/>
        <n v="1.8845878406392522"/>
        <n v="3.6446801337597607"/>
        <m/>
      </sharedItems>
    </cacheField>
    <cacheField name="total_death_rate_per100k" numFmtId="4">
      <sharedItems containsString="0" containsBlank="1" containsNumber="1">
        <n v="4.657622410785359"/>
        <n v="1.6348506563925385"/>
        <n v="2.4865354107507844"/>
        <n v="2.031894945225918"/>
        <n v="2.1763101387034998"/>
        <n v="3.188877196339169"/>
        <n v="2.9562009270646104"/>
        <n v="2.0112832993091243"/>
        <n v="2.3480241376881357"/>
        <n v="1.1217741980716702"/>
        <n v="6.152100255846021"/>
        <n v="2.258777509750943"/>
        <n v="2.806046093983837"/>
        <n v="4.341919997022683"/>
        <n v="2.327457795431976"/>
        <n v="3.1281525912834027"/>
        <n v="1.970375405774185"/>
        <n v="2.5160777367377545"/>
        <n v="0.0"/>
        <n v="1.4751583336611462"/>
        <n v="1.7470503965804403"/>
        <n v="3.23690671234855"/>
        <n v="2.610537621576466"/>
        <n v="2.5465812147192395"/>
        <n v="3.14669911263085"/>
        <n v="2.213270771546191"/>
        <n v="2.3576842824977304"/>
        <n v="3.551538584107153"/>
        <n v="1.0548523206751055"/>
        <n v="1.8676378383426049"/>
        <n v="1.9696432521537293"/>
        <n v="3.24485690181063"/>
        <n v="1.7856983419790897"/>
        <n v="2.2656727915354464"/>
        <n v="2.8150945369068947"/>
        <n v="2.2186723464678737"/>
        <n v="1.9770295526377528"/>
        <n v="3.2175549799707204"/>
        <n v="3.2716803350200663"/>
        <n v="2.36361409487547"/>
        <n v="1.385329362055829"/>
        <n v="2.180727817909227"/>
        <n v="2.9120163383530024"/>
        <n v="3.581854325984562"/>
        <n v="3.259310764417018"/>
        <n v="1.257363434613958"/>
        <n v="1.6543098908431189"/>
        <n v="5.30717955249862"/>
        <n v="2.4991351676985465"/>
        <n v="1.6204829039053636"/>
        <n v="0.956699768478656"/>
        <n v="2.1793376992731908"/>
        <n v="2.1720007384802513"/>
        <n v="0.9305788200260563"/>
        <n v="2.445280066076901"/>
        <n v="1.7873420436468928"/>
        <n v="1.4164005014057774"/>
        <n v="2.026760843487194"/>
        <n v="3.3393542903113187"/>
        <n v="1.9145473690928236"/>
        <n v="2.556916971792092"/>
        <n v="1.6820700675631477"/>
        <n v="3.938778937068678"/>
        <n v="2.6447679877282764"/>
        <n v="1.5759354654426903"/>
        <n v="2.3574480624723737"/>
        <n v="1.0754943240787047"/>
        <n v="2.8271215191066297"/>
        <n v="3.6940239926858323"/>
        <n v="4.991846650470897"/>
        <n v="2.1839974141470617"/>
        <n v="2.8131769206965425"/>
        <n v="1.471323897242739"/>
        <n v="3.6725212776701524"/>
        <n v="2.2334390494483403"/>
        <m/>
      </sharedItems>
    </cacheField>
    <cacheField name="total_death_risk_group" numFmtId="0">
      <sharedItems containsBlank="1">
        <s v="Высокий"/>
        <s v="Низкий"/>
        <s v="Средний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op-10_cancer_by_region" cacheId="0" dataCaption="" rowGrandTotals="0" compact="0" compactData="0">
  <location ref="A1:B11" firstHeaderRow="0" firstDataRow="1" firstDataCol="0"/>
  <pivotFields>
    <pivotField name="region" axis="axisRow" compact="0" outline="0" multipleItemSelectionAllowed="1" showAll="0" sortType="descending">
      <items>
        <item x="0"/>
        <item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x="22"/>
        <item h="1" x="23"/>
        <item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x="41"/>
        <item h="1" x="42"/>
        <item h="1" x="43"/>
        <item h="1" x="44"/>
        <item h="1" x="45"/>
        <item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_engl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quares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male_abs_n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emale_abs_n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ale_population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female_population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ale_per_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female_per_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otal_per_100k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_death_risk_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total_per_100k" fld="9" baseField="0"/>
  </dataFields>
</pivotTableDefinition>
</file>

<file path=xl/pivotTables/pivotTable2.xml><?xml version="1.0" encoding="utf-8"?>
<pivotTableDefinition xmlns="http://schemas.openxmlformats.org/spreadsheetml/2006/main" name="top10localizations_cancer_by_ty" cacheId="1" dataCaption="" rowGrandTotals="0" compact="0" compactData="0">
  <location ref="A1:B11" firstHeaderRow="0" firstDataRow="1" firstDataCol="0"/>
  <pivotFields>
    <pivotField name="localization" axis="axisRow" compact="0" outline="0" multipleItemSelectionAllowed="1" showAll="0" sortType="descending">
      <items>
        <item h="1" x="0"/>
        <item h="1" x="1"/>
        <item h="1" x="2"/>
        <item h="1" x="3"/>
        <item x="4"/>
        <item h="1" x="5"/>
        <item x="6"/>
        <item h="1" x="7"/>
        <item x="8"/>
        <item h="1" x="9"/>
        <item h="1" x="10"/>
        <item x="11"/>
        <item h="1" x="12"/>
        <item x="13"/>
        <item x="14"/>
        <item h="1" x="15"/>
        <item x="16"/>
        <item x="17"/>
        <item h="1" x="18"/>
        <item x="19"/>
        <item h="1" x="20"/>
        <item x="21"/>
        <item h="1" x="22"/>
        <item h="1" x="23"/>
        <item h="1" x="24"/>
        <item h="1" x="25"/>
        <item h="1" x="2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le_abs_num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male_abs_num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le_share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male_share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le_rate_per100k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emale_rate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0"/>
  </rowFields>
  <dataFields>
    <dataField name="SUM of male_rate_per100k" fld="5" baseField="0"/>
  </dataFields>
</pivotTableDefinition>
</file>

<file path=xl/pivotTables/pivotTable3.xml><?xml version="1.0" encoding="utf-8"?>
<pivotTableDefinition xmlns="http://schemas.openxmlformats.org/spreadsheetml/2006/main" name="top10localizations_cancer_by_ty 2" cacheId="1" dataCaption="" rowGrandTotals="0" compact="0" compactData="0">
  <location ref="A13:B23" firstHeaderRow="0" firstDataRow="1" firstDataCol="0"/>
  <pivotFields>
    <pivotField name="localization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x="6"/>
        <item h="1" x="7"/>
        <item x="8"/>
        <item x="9"/>
        <item h="1" x="10"/>
        <item x="11"/>
        <item h="1" x="12"/>
        <item h="1" x="13"/>
        <item x="14"/>
        <item x="15"/>
        <item x="16"/>
        <item x="17"/>
        <item h="1" x="18"/>
        <item x="19"/>
        <item h="1" x="20"/>
        <item x="21"/>
        <item h="1" x="22"/>
        <item h="1" x="23"/>
        <item h="1" x="24"/>
        <item h="1" x="25"/>
        <item h="1" x="2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le_abs_num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male_abs_num_0-1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le_share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male_share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le_rate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emale_rate_per100k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0"/>
  </rowFields>
  <dataFields>
    <dataField name="SUM of female_rate_per100k" fld="6" baseField="0"/>
  </dataFields>
</pivotTableDefinition>
</file>

<file path=xl/pivotTables/pivotTable4.xml><?xml version="1.0" encoding="utf-8"?>
<pivotTableDefinition xmlns="http://schemas.openxmlformats.org/spreadsheetml/2006/main" name="outliers_cancer_by_age_type" cacheId="2" dataCaption="" rowGrandTotals="0" compact="0" compactData="0">
  <location ref="A13:B15" firstHeaderRow="0" firstDataRow="1" firstDataCol="0" rowPageCount="1" colPageCount="1"/>
  <pivotFields>
    <pivotField name="localization" axis="axisRow" compact="0" outline="0" multipleItemSelectionAllowed="1" showAll="0" sortType="ascending">
      <items>
        <item x="48"/>
        <item x="2"/>
        <item x="18"/>
        <item x="31"/>
        <item x="33"/>
        <item x="6"/>
        <item x="16"/>
        <item x="0"/>
        <item x="3"/>
        <item x="46"/>
        <item x="41"/>
        <item x="47"/>
        <item x="45"/>
        <item x="8"/>
        <item x="13"/>
        <item x="26"/>
        <item x="39"/>
        <item x="22"/>
        <item x="20"/>
        <item x="37"/>
        <item x="23"/>
        <item x="21"/>
        <item x="32"/>
        <item x="28"/>
        <item x="30"/>
        <item x="36"/>
        <item x="38"/>
        <item x="5"/>
        <item x="10"/>
        <item x="40"/>
        <item x="42"/>
        <item x="44"/>
        <item x="25"/>
        <item x="12"/>
        <item x="7"/>
        <item x="15"/>
        <item x="14"/>
        <item x="29"/>
        <item x="11"/>
        <item x="4"/>
        <item x="24"/>
        <item x="19"/>
        <item x="27"/>
        <item x="34"/>
        <item x="9"/>
        <item x="17"/>
        <item x="43"/>
        <item x="35"/>
        <item x="1"/>
        <item t="default"/>
      </items>
    </pivotField>
    <pivotField name="abs_num_0-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bs_num_5-9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bs_num_10-14 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ate_0-4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ate_5-9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ate_10-14_per100k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utliers_0-4" compact="0" outline="0" multipleItemSelectionAllowed="1" showAll="0">
      <items>
        <item x="0"/>
        <item x="1"/>
        <item x="2"/>
        <item t="default"/>
      </items>
    </pivotField>
    <pivotField name="outliers_5-9" compact="0" outline="0" multipleItemSelectionAllowed="1" showAll="0">
      <items>
        <item x="0"/>
        <item x="1"/>
        <item x="2"/>
        <item t="default"/>
      </items>
    </pivotField>
    <pivotField name="outliers_10-14" axis="axisPage" compact="0" outline="0" multipleItemSelectionAllowed="1" showAll="0">
      <items>
        <item h="1" x="0"/>
        <item x="1"/>
        <item h="1" x="2"/>
        <item t="default"/>
      </items>
    </pivotField>
  </pivotFields>
  <rowFields>
    <field x="0"/>
  </rowFields>
  <pageFields>
    <pageField fld="9"/>
  </pageFields>
  <dataFields>
    <dataField name="SUM of rate_10-14_per100k" fld="6" baseField="0"/>
  </dataFields>
</pivotTableDefinition>
</file>

<file path=xl/pivotTables/pivotTable5.xml><?xml version="1.0" encoding="utf-8"?>
<pivotTableDefinition xmlns="http://schemas.openxmlformats.org/spreadsheetml/2006/main" name="antitop-10_death_cancer_by_regi" cacheId="3" dataCaption="" rowGrandTotals="0" compact="0" compactData="0">
  <location ref="A1:B11" firstHeaderRow="0" firstDataRow="1" firstDataCol="0"/>
  <pivotFields>
    <pivotField name="region" axis="axisRow" compact="0" outline="0" multipleItemSelectionAllowed="1" showAll="0" sortType="descending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h="1" x="48"/>
        <item h="1" x="49"/>
        <item h="1" x="50"/>
        <item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x="73"/>
        <item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_englis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quares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male_death_abs_n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male_death_abs_nu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le_death_rate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female_death_rate_per100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otal_death_rate_per100k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total_death_risk_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total_death_rate_per100k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ms66.ru/upload/iblock/52d/6u9uo6ajmjooxfl8m738lck2qzog7lza/zno_2022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ms66.ru/upload/iblock/52d/6u9uo6ajmjooxfl8m738lck2qzog7lza/zno_2022.pdf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ms66.ru/upload/iblock/52d/6u9uo6ajmjooxfl8m738lck2qzog7lza/zno_2022.pdf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ms66.ru/upload/iblock/52d/6u9uo6ajmjooxfl8m738lck2qzog7lza/zno_2022.pdf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sstat.gov.ru/compendium/document/13284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1.75"/>
    <col customWidth="1" min="3" max="3" width="12.38"/>
    <col customWidth="1" min="4" max="4" width="12.63"/>
    <col customWidth="1" min="5" max="5" width="14.75"/>
    <col customWidth="1" min="6" max="6" width="17.75"/>
    <col customWidth="1" min="7" max="7" width="19.63"/>
    <col customWidth="1" min="8" max="8" width="14.63"/>
    <col customWidth="1" min="9" max="9" width="13.75"/>
    <col customWidth="1" min="11" max="11" width="14.0"/>
  </cols>
  <sheetData>
    <row r="1" ht="25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</row>
    <row r="2">
      <c r="A2" s="4" t="s">
        <v>11</v>
      </c>
      <c r="B2" s="4" t="s">
        <v>12</v>
      </c>
      <c r="C2" s="4" t="s">
        <v>13</v>
      </c>
      <c r="D2" s="6">
        <v>22.0</v>
      </c>
      <c r="E2" s="6">
        <v>17.0</v>
      </c>
      <c r="F2" s="7">
        <f>SUMIF(population_edit!A$2:A$1276, A2, population_edit!C$2:C$1276)</f>
        <v>121398</v>
      </c>
      <c r="G2" s="7">
        <f>SUMIF(population_edit!A$2:A$1274, A2, population_edit!D$2:D$1276)</f>
        <v>114774</v>
      </c>
      <c r="H2" s="8">
        <f t="shared" ref="H2:I2" si="1">(D2/F2)*100000</f>
        <v>18.12220959</v>
      </c>
      <c r="I2" s="8">
        <f t="shared" si="1"/>
        <v>14.81171694</v>
      </c>
      <c r="J2" s="8">
        <f t="shared" ref="J2:J86" si="3"> IFERROR( (D2 + E2) / (F2 + G2) * 100000, "" )</f>
        <v>16.51338855</v>
      </c>
      <c r="K2" s="9" t="str">
        <f t="shared" ref="K2:K86" si="4">IF(J2 &lt;= PERCENTILE(J$2:J$86, 0.33), "Низкий", IF(J2 &lt;= PERCENTILE(J$2:J$86, 0.67), "Средний", "Высокий"))</f>
        <v>Высокий</v>
      </c>
    </row>
    <row r="3">
      <c r="A3" s="4" t="s">
        <v>14</v>
      </c>
      <c r="B3" s="4" t="s">
        <v>15</v>
      </c>
      <c r="C3" s="4" t="s">
        <v>16</v>
      </c>
      <c r="D3" s="6">
        <v>18.0</v>
      </c>
      <c r="E3" s="6">
        <v>13.0</v>
      </c>
      <c r="F3" s="7">
        <f>SUMIF(population_edit!A$2:A$1276, A3, population_edit!C$2:C$1276)</f>
        <v>94158</v>
      </c>
      <c r="G3" s="7">
        <f>SUMIF(population_edit!A$2:A$1274, A3, population_edit!D$2:D$1276)</f>
        <v>89345</v>
      </c>
      <c r="H3" s="8">
        <f t="shared" ref="H3:I3" si="2">(D3/F3)*100000</f>
        <v>19.11680367</v>
      </c>
      <c r="I3" s="8">
        <f t="shared" si="2"/>
        <v>14.55033858</v>
      </c>
      <c r="J3" s="8">
        <f t="shared" si="3"/>
        <v>16.89345678</v>
      </c>
      <c r="K3" s="9" t="str">
        <f t="shared" si="4"/>
        <v>Высокий</v>
      </c>
    </row>
    <row r="4">
      <c r="A4" s="4" t="s">
        <v>17</v>
      </c>
      <c r="B4" s="4" t="s">
        <v>18</v>
      </c>
      <c r="C4" s="4" t="s">
        <v>19</v>
      </c>
      <c r="D4" s="6">
        <v>19.0</v>
      </c>
      <c r="E4" s="6">
        <v>9.0</v>
      </c>
      <c r="F4" s="7">
        <f>SUMIF(population_edit!A$2:A$1276, A4, population_edit!C$2:C$1276)</f>
        <v>103446</v>
      </c>
      <c r="G4" s="7">
        <f>SUMIF(population_edit!A$2:A$1274, A4, population_edit!D$2:D$1276)</f>
        <v>97637</v>
      </c>
      <c r="H4" s="8">
        <f t="shared" ref="H4:I4" si="5">(D4/F4)*100000</f>
        <v>18.36707074</v>
      </c>
      <c r="I4" s="8">
        <f t="shared" si="5"/>
        <v>9.217817016</v>
      </c>
      <c r="J4" s="8">
        <f t="shared" si="3"/>
        <v>13.9245983</v>
      </c>
      <c r="K4" s="9" t="str">
        <f t="shared" si="4"/>
        <v>Высокий</v>
      </c>
    </row>
    <row r="5">
      <c r="A5" s="4" t="s">
        <v>20</v>
      </c>
      <c r="B5" s="4" t="s">
        <v>21</v>
      </c>
      <c r="C5" s="4" t="s">
        <v>22</v>
      </c>
      <c r="D5" s="6">
        <v>7.0</v>
      </c>
      <c r="E5" s="6">
        <v>8.0</v>
      </c>
      <c r="F5" s="7">
        <f>SUMIF(population_edit!A$2:A$1276, A5, population_edit!C$2:C$1276)</f>
        <v>176987</v>
      </c>
      <c r="G5" s="7">
        <f>SUMIF(population_edit!A$2:A$1274, A5, population_edit!D$2:D$1276)</f>
        <v>167519</v>
      </c>
      <c r="H5" s="8">
        <f t="shared" ref="H5:I5" si="6">(D5/F5)*100000</f>
        <v>3.955092747</v>
      </c>
      <c r="I5" s="8">
        <f t="shared" si="6"/>
        <v>4.775577696</v>
      </c>
      <c r="J5" s="8">
        <f t="shared" si="3"/>
        <v>4.354060597</v>
      </c>
      <c r="K5" s="9" t="str">
        <f t="shared" si="4"/>
        <v>Низкий</v>
      </c>
    </row>
    <row r="6">
      <c r="A6" s="4" t="s">
        <v>23</v>
      </c>
      <c r="B6" s="4" t="s">
        <v>24</v>
      </c>
      <c r="C6" s="4" t="s">
        <v>25</v>
      </c>
      <c r="D6" s="6">
        <v>4.0</v>
      </c>
      <c r="E6" s="6">
        <v>7.0</v>
      </c>
      <c r="F6" s="7">
        <f>SUMIF(population_edit!A$2:A$1276, A6, population_edit!C$2:C$1276)</f>
        <v>71508</v>
      </c>
      <c r="G6" s="7">
        <f>SUMIF(population_edit!A$2:A$1274, A6, population_edit!D$2:D$1276)</f>
        <v>66340</v>
      </c>
      <c r="H6" s="8">
        <f t="shared" ref="H6:I6" si="7">(D6/F6)*100000</f>
        <v>5.593779717</v>
      </c>
      <c r="I6" s="8">
        <f t="shared" si="7"/>
        <v>10.55170335</v>
      </c>
      <c r="J6" s="8">
        <f t="shared" si="3"/>
        <v>7.979803842</v>
      </c>
      <c r="K6" s="9" t="str">
        <f t="shared" si="4"/>
        <v>Низкий</v>
      </c>
    </row>
    <row r="7">
      <c r="A7" s="4" t="s">
        <v>26</v>
      </c>
      <c r="B7" s="4" t="s">
        <v>27</v>
      </c>
      <c r="C7" s="4" t="s">
        <v>28</v>
      </c>
      <c r="D7" s="6">
        <v>5.0</v>
      </c>
      <c r="E7" s="6">
        <v>10.0</v>
      </c>
      <c r="F7" s="7">
        <f>SUMIF(population_edit!A$2:A$1276, A7, population_edit!C$2:C$1276)</f>
        <v>96124</v>
      </c>
      <c r="G7" s="7">
        <f>SUMIF(population_edit!A$2:A$1274, A7, population_edit!D$2:D$1276)</f>
        <v>92030</v>
      </c>
      <c r="H7" s="8">
        <f t="shared" ref="H7:I7" si="8">(D7/F7)*100000</f>
        <v>5.201614581</v>
      </c>
      <c r="I7" s="8">
        <f t="shared" si="8"/>
        <v>10.86602195</v>
      </c>
      <c r="J7" s="8">
        <f t="shared" si="3"/>
        <v>7.972192991</v>
      </c>
      <c r="K7" s="9" t="str">
        <f t="shared" si="4"/>
        <v>Низкий</v>
      </c>
    </row>
    <row r="8">
      <c r="A8" s="4" t="s">
        <v>29</v>
      </c>
      <c r="B8" s="4" t="s">
        <v>30</v>
      </c>
      <c r="C8" s="4" t="s">
        <v>31</v>
      </c>
      <c r="D8" s="6">
        <v>6.0</v>
      </c>
      <c r="E8" s="6">
        <v>8.0</v>
      </c>
      <c r="F8" s="7">
        <f>SUMIF(population_edit!A$2:A$1276, A8, population_edit!C$2:C$1276)</f>
        <v>86603</v>
      </c>
      <c r="G8" s="7">
        <f>SUMIF(population_edit!A$2:A$1274, A8, population_edit!D$2:D$1276)</f>
        <v>82533</v>
      </c>
      <c r="H8" s="8">
        <f t="shared" ref="H8:I8" si="9">(D8/F8)*100000</f>
        <v>6.928166461</v>
      </c>
      <c r="I8" s="8">
        <f t="shared" si="9"/>
        <v>9.69309246</v>
      </c>
      <c r="J8" s="8">
        <f t="shared" si="3"/>
        <v>8.277362596</v>
      </c>
      <c r="K8" s="9" t="str">
        <f t="shared" si="4"/>
        <v>Низкий</v>
      </c>
    </row>
    <row r="9">
      <c r="A9" s="4" t="s">
        <v>32</v>
      </c>
      <c r="B9" s="4" t="s">
        <v>33</v>
      </c>
      <c r="C9" s="4" t="s">
        <v>34</v>
      </c>
      <c r="D9" s="6">
        <v>5.0</v>
      </c>
      <c r="E9" s="6">
        <v>1.0</v>
      </c>
      <c r="F9" s="7">
        <f>SUMIF(population_edit!A$2:A$1276, A9, population_edit!C$2:C$1276)</f>
        <v>50857</v>
      </c>
      <c r="G9" s="7">
        <f>SUMIF(population_edit!A$2:A$1274, A9, population_edit!D$2:D$1276)</f>
        <v>48582</v>
      </c>
      <c r="H9" s="8">
        <f t="shared" ref="H9:I9" si="10">(D9/F9)*100000</f>
        <v>9.831488291</v>
      </c>
      <c r="I9" s="8">
        <f t="shared" si="10"/>
        <v>2.05837553</v>
      </c>
      <c r="J9" s="8">
        <f t="shared" si="3"/>
        <v>6.033849898</v>
      </c>
      <c r="K9" s="9" t="str">
        <f t="shared" si="4"/>
        <v>Низкий</v>
      </c>
    </row>
    <row r="10">
      <c r="A10" s="4" t="s">
        <v>35</v>
      </c>
      <c r="B10" s="4" t="s">
        <v>36</v>
      </c>
      <c r="C10" s="4" t="s">
        <v>37</v>
      </c>
      <c r="D10" s="6">
        <v>8.0</v>
      </c>
      <c r="E10" s="6">
        <v>20.0</v>
      </c>
      <c r="F10" s="7">
        <f>SUMIF(population_edit!A$2:A$1276, A10, population_edit!C$2:C$1276)</f>
        <v>87470</v>
      </c>
      <c r="G10" s="7">
        <f>SUMIF(population_edit!A$2:A$1274, A10, population_edit!D$2:D$1276)</f>
        <v>82886</v>
      </c>
      <c r="H10" s="8">
        <f t="shared" ref="H10:I10" si="11">(D10/F10)*100000</f>
        <v>9.145992912</v>
      </c>
      <c r="I10" s="8">
        <f t="shared" si="11"/>
        <v>24.1295273</v>
      </c>
      <c r="J10" s="8">
        <f t="shared" si="3"/>
        <v>16.43616896</v>
      </c>
      <c r="K10" s="9" t="str">
        <f t="shared" si="4"/>
        <v>Высокий</v>
      </c>
    </row>
    <row r="11">
      <c r="A11" s="4" t="s">
        <v>38</v>
      </c>
      <c r="B11" s="4" t="s">
        <v>39</v>
      </c>
      <c r="C11" s="4" t="s">
        <v>40</v>
      </c>
      <c r="D11" s="6">
        <v>13.0</v>
      </c>
      <c r="E11" s="6">
        <v>6.0</v>
      </c>
      <c r="F11" s="7">
        <f>SUMIF(population_edit!A$2:A$1276, A11, population_edit!C$2:C$1276)</f>
        <v>91417</v>
      </c>
      <c r="G11" s="7">
        <f>SUMIF(population_edit!A$2:A$1274, A11, population_edit!D$2:D$1276)</f>
        <v>86872</v>
      </c>
      <c r="H11" s="8">
        <f t="shared" ref="H11:I11" si="12">(D11/F11)*100000</f>
        <v>14.22054979</v>
      </c>
      <c r="I11" s="8">
        <f t="shared" si="12"/>
        <v>6.906713325</v>
      </c>
      <c r="J11" s="8">
        <f t="shared" si="3"/>
        <v>10.65685488</v>
      </c>
      <c r="K11" s="9" t="str">
        <f t="shared" si="4"/>
        <v>Средний</v>
      </c>
    </row>
    <row r="12">
      <c r="A12" s="4" t="s">
        <v>41</v>
      </c>
      <c r="B12" s="4" t="s">
        <v>42</v>
      </c>
      <c r="C12" s="4" t="s">
        <v>43</v>
      </c>
      <c r="D12" s="6">
        <v>99.0</v>
      </c>
      <c r="E12" s="6">
        <v>93.0</v>
      </c>
      <c r="F12" s="7">
        <f>SUMIF(population_edit!A$2:A$1276, A12, population_edit!C$2:C$1276)</f>
        <v>1016163</v>
      </c>
      <c r="G12" s="7">
        <f>SUMIF(population_edit!A$2:A$1274, A12, population_edit!D$2:D$1276)</f>
        <v>950645</v>
      </c>
      <c r="H12" s="8">
        <f t="shared" ref="H12:I12" si="13">(D12/F12)*100000</f>
        <v>9.742531464</v>
      </c>
      <c r="I12" s="8">
        <f t="shared" si="13"/>
        <v>9.782831656</v>
      </c>
      <c r="J12" s="8">
        <f t="shared" si="3"/>
        <v>9.762010323</v>
      </c>
      <c r="K12" s="9" t="str">
        <f t="shared" si="4"/>
        <v>Низкий</v>
      </c>
    </row>
    <row r="13">
      <c r="A13" s="4" t="s">
        <v>44</v>
      </c>
      <c r="B13" s="4" t="s">
        <v>45</v>
      </c>
      <c r="C13" s="4" t="s">
        <v>46</v>
      </c>
      <c r="D13" s="6">
        <v>71.0</v>
      </c>
      <c r="E13" s="6">
        <v>59.0</v>
      </c>
      <c r="F13" s="7">
        <f>SUMIF(population_edit!A$2:A$1276, A13, population_edit!C$2:C$1276)</f>
        <v>788643</v>
      </c>
      <c r="G13" s="7">
        <f>SUMIF(population_edit!A$2:A$1274, A13, population_edit!D$2:D$1276)</f>
        <v>716596</v>
      </c>
      <c r="H13" s="8">
        <f t="shared" ref="H13:I13" si="14">(D13/F13)*100000</f>
        <v>9.002806086</v>
      </c>
      <c r="I13" s="8">
        <f t="shared" si="14"/>
        <v>8.233369988</v>
      </c>
      <c r="J13" s="8">
        <f t="shared" si="3"/>
        <v>8.636502243</v>
      </c>
      <c r="K13" s="9" t="str">
        <f t="shared" si="4"/>
        <v>Низкий</v>
      </c>
    </row>
    <row r="14">
      <c r="A14" s="4" t="s">
        <v>47</v>
      </c>
      <c r="B14" s="4" t="s">
        <v>48</v>
      </c>
      <c r="C14" s="4" t="s">
        <v>49</v>
      </c>
      <c r="D14" s="6">
        <v>7.0</v>
      </c>
      <c r="E14" s="6">
        <v>5.0</v>
      </c>
      <c r="F14" s="7">
        <f>SUMIF(population_edit!A$2:A$1276, A14, population_edit!C$2:C$1276)</f>
        <v>55049</v>
      </c>
      <c r="G14" s="7">
        <f>SUMIF(population_edit!A$2:A$1274, A14, population_edit!D$2:D$1276)</f>
        <v>51863</v>
      </c>
      <c r="H14" s="8">
        <f t="shared" ref="H14:I14" si="15">(D14/F14)*100000</f>
        <v>12.71594398</v>
      </c>
      <c r="I14" s="8">
        <f t="shared" si="15"/>
        <v>9.640784374</v>
      </c>
      <c r="J14" s="8">
        <f t="shared" si="3"/>
        <v>11.22418438</v>
      </c>
      <c r="K14" s="9" t="str">
        <f t="shared" si="4"/>
        <v>Средний</v>
      </c>
    </row>
    <row r="15">
      <c r="A15" s="4" t="s">
        <v>50</v>
      </c>
      <c r="B15" s="4" t="s">
        <v>51</v>
      </c>
      <c r="C15" s="4" t="s">
        <v>52</v>
      </c>
      <c r="D15" s="6">
        <v>13.0</v>
      </c>
      <c r="E15" s="6">
        <v>10.0</v>
      </c>
      <c r="F15" s="7">
        <f>SUMIF(population_edit!A$2:A$1276, A15, population_edit!C$2:C$1276)</f>
        <v>82801</v>
      </c>
      <c r="G15" s="7">
        <f>SUMIF(population_edit!A$2:A$1274, A15, population_edit!D$2:D$1276)</f>
        <v>78418</v>
      </c>
      <c r="H15" s="8">
        <f t="shared" ref="H15:I15" si="16">(D15/F15)*100000</f>
        <v>15.70029347</v>
      </c>
      <c r="I15" s="8">
        <f t="shared" si="16"/>
        <v>12.75217425</v>
      </c>
      <c r="J15" s="8">
        <f t="shared" si="3"/>
        <v>14.26630856</v>
      </c>
      <c r="K15" s="9" t="str">
        <f t="shared" si="4"/>
        <v>Высокий</v>
      </c>
    </row>
    <row r="16">
      <c r="A16" s="4" t="s">
        <v>53</v>
      </c>
      <c r="B16" s="4" t="s">
        <v>54</v>
      </c>
      <c r="C16" s="4" t="s">
        <v>55</v>
      </c>
      <c r="D16" s="6">
        <v>10.0</v>
      </c>
      <c r="E16" s="6">
        <v>7.0</v>
      </c>
      <c r="F16" s="7">
        <f>SUMIF(population_edit!A$2:A$1276, A16, population_edit!C$2:C$1276)</f>
        <v>66265</v>
      </c>
      <c r="G16" s="7">
        <f>SUMIF(population_edit!A$2:A$1274, A16, population_edit!D$2:D$1276)</f>
        <v>62631</v>
      </c>
      <c r="H16" s="8">
        <f t="shared" ref="H16:I16" si="17">(D16/F16)*100000</f>
        <v>15.09092281</v>
      </c>
      <c r="I16" s="8">
        <f t="shared" si="17"/>
        <v>11.1765739</v>
      </c>
      <c r="J16" s="8">
        <f t="shared" si="3"/>
        <v>13.18892751</v>
      </c>
      <c r="K16" s="9" t="str">
        <f t="shared" si="4"/>
        <v>Средний</v>
      </c>
    </row>
    <row r="17">
      <c r="A17" s="4" t="s">
        <v>56</v>
      </c>
      <c r="B17" s="4" t="s">
        <v>57</v>
      </c>
      <c r="C17" s="4" t="s">
        <v>58</v>
      </c>
      <c r="D17" s="6">
        <v>8.0</v>
      </c>
      <c r="E17" s="6">
        <v>6.0</v>
      </c>
      <c r="F17" s="7">
        <f>SUMIF(population_edit!A$2:A$1276, A17, population_edit!C$2:C$1276)</f>
        <v>65839</v>
      </c>
      <c r="G17" s="7">
        <f>SUMIF(population_edit!A$2:A$1274, A17, population_edit!D$2:D$1276)</f>
        <v>62032</v>
      </c>
      <c r="H17" s="8">
        <f t="shared" ref="H17:I17" si="18">(D17/F17)*100000</f>
        <v>12.15085284</v>
      </c>
      <c r="I17" s="8">
        <f t="shared" si="18"/>
        <v>9.672427134</v>
      </c>
      <c r="J17" s="8">
        <f t="shared" si="3"/>
        <v>10.94853407</v>
      </c>
      <c r="K17" s="9" t="str">
        <f t="shared" si="4"/>
        <v>Средний</v>
      </c>
    </row>
    <row r="18">
      <c r="A18" s="4" t="s">
        <v>59</v>
      </c>
      <c r="B18" s="4" t="s">
        <v>60</v>
      </c>
      <c r="C18" s="4" t="s">
        <v>61</v>
      </c>
      <c r="D18" s="6">
        <v>13.0</v>
      </c>
      <c r="E18" s="6">
        <v>7.0</v>
      </c>
      <c r="F18" s="7">
        <f>SUMIF(population_edit!A$2:A$1276, A18, population_edit!C$2:C$1276)</f>
        <v>104160</v>
      </c>
      <c r="G18" s="7">
        <f>SUMIF(population_edit!A$2:A$1274, A18, population_edit!D$2:D$1276)</f>
        <v>98847</v>
      </c>
      <c r="H18" s="8">
        <f t="shared" ref="H18:I18" si="19">(D18/F18)*100000</f>
        <v>12.48079877</v>
      </c>
      <c r="I18" s="8">
        <f t="shared" si="19"/>
        <v>7.081651441</v>
      </c>
      <c r="J18" s="8">
        <f t="shared" si="3"/>
        <v>9.851877029</v>
      </c>
      <c r="K18" s="9" t="str">
        <f t="shared" si="4"/>
        <v>Низкий</v>
      </c>
    </row>
    <row r="19">
      <c r="A19" s="4" t="s">
        <v>62</v>
      </c>
      <c r="B19" s="4" t="s">
        <v>63</v>
      </c>
      <c r="C19" s="4" t="s">
        <v>64</v>
      </c>
      <c r="D19" s="6">
        <v>13.0</v>
      </c>
      <c r="E19" s="6">
        <v>14.0</v>
      </c>
      <c r="F19" s="7">
        <f>SUMIF(population_edit!A$2:A$1276, A19, population_edit!C$2:C$1276)</f>
        <v>102258</v>
      </c>
      <c r="G19" s="7">
        <f>SUMIF(population_edit!A$2:A$1274, A19, population_edit!D$2:D$1276)</f>
        <v>96464</v>
      </c>
      <c r="H19" s="8">
        <f t="shared" ref="H19:I19" si="20">(D19/F19)*100000</f>
        <v>12.71294177</v>
      </c>
      <c r="I19" s="8">
        <f t="shared" si="20"/>
        <v>14.51318627</v>
      </c>
      <c r="J19" s="8">
        <f t="shared" si="3"/>
        <v>13.58681978</v>
      </c>
      <c r="K19" s="9" t="str">
        <f t="shared" si="4"/>
        <v>Высокий</v>
      </c>
    </row>
    <row r="20">
      <c r="A20" s="4" t="s">
        <v>65</v>
      </c>
      <c r="B20" s="4" t="s">
        <v>66</v>
      </c>
      <c r="C20" s="4" t="s">
        <v>67</v>
      </c>
      <c r="D20" s="6">
        <v>0.0</v>
      </c>
      <c r="E20" s="6">
        <v>1.0</v>
      </c>
      <c r="F20" s="7">
        <f>SUMIF(population_edit!A$2:A$1276, A20, population_edit!C$2:C$1276)</f>
        <v>4491</v>
      </c>
      <c r="G20" s="7">
        <f>SUMIF(population_edit!A$2:A$1274, A20, population_edit!D$2:D$1276)</f>
        <v>4216</v>
      </c>
      <c r="H20" s="8">
        <f t="shared" ref="H20:I20" si="21">(D20/F20)*100000</f>
        <v>0</v>
      </c>
      <c r="I20" s="8">
        <f t="shared" si="21"/>
        <v>23.71916509</v>
      </c>
      <c r="J20" s="8">
        <f t="shared" si="3"/>
        <v>11.48501206</v>
      </c>
      <c r="K20" s="9" t="str">
        <f t="shared" si="4"/>
        <v>Средний</v>
      </c>
    </row>
    <row r="21">
      <c r="A21" s="4" t="s">
        <v>68</v>
      </c>
      <c r="B21" s="4" t="s">
        <v>69</v>
      </c>
      <c r="C21" s="4" t="s">
        <v>70</v>
      </c>
      <c r="D21" s="6">
        <v>13.0</v>
      </c>
      <c r="E21" s="6">
        <v>12.0</v>
      </c>
      <c r="F21" s="7">
        <f>SUMIF(population_edit!A$2:A$1276, A21, population_edit!C$2:C$1276)</f>
        <v>83850</v>
      </c>
      <c r="G21" s="7">
        <f>SUMIF(population_edit!A$2:A$1274, A21, population_edit!D$2:D$1276)</f>
        <v>77390</v>
      </c>
      <c r="H21" s="8">
        <f t="shared" ref="H21:I21" si="22">(D21/F21)*100000</f>
        <v>15.50387597</v>
      </c>
      <c r="I21" s="8">
        <f t="shared" si="22"/>
        <v>15.50587931</v>
      </c>
      <c r="J21" s="8">
        <f t="shared" si="3"/>
        <v>15.50483751</v>
      </c>
      <c r="K21" s="9" t="str">
        <f t="shared" si="4"/>
        <v>Высокий</v>
      </c>
    </row>
    <row r="22">
      <c r="A22" s="4" t="s">
        <v>71</v>
      </c>
      <c r="B22" s="4" t="s">
        <v>72</v>
      </c>
      <c r="C22" s="4" t="s">
        <v>73</v>
      </c>
      <c r="D22" s="6">
        <v>22.0</v>
      </c>
      <c r="E22" s="6">
        <v>11.0</v>
      </c>
      <c r="F22" s="7">
        <f>SUMIF(population_edit!A$2:A$1276, A22, population_edit!C$2:C$1276)</f>
        <v>104017</v>
      </c>
      <c r="G22" s="7">
        <f>SUMIF(population_edit!A$2:A$1274, A22, population_edit!D$2:D$1276)</f>
        <v>99351</v>
      </c>
      <c r="H22" s="8">
        <f t="shared" ref="H22:I22" si="23">(D22/F22)*100000</f>
        <v>21.15038888</v>
      </c>
      <c r="I22" s="8">
        <f t="shared" si="23"/>
        <v>11.07185635</v>
      </c>
      <c r="J22" s="8">
        <f t="shared" si="3"/>
        <v>16.22674167</v>
      </c>
      <c r="K22" s="9" t="str">
        <f t="shared" si="4"/>
        <v>Высокий</v>
      </c>
    </row>
    <row r="23">
      <c r="A23" s="4" t="s">
        <v>74</v>
      </c>
      <c r="B23" s="4" t="s">
        <v>75</v>
      </c>
      <c r="C23" s="4" t="s">
        <v>76</v>
      </c>
      <c r="D23" s="6">
        <v>15.0</v>
      </c>
      <c r="E23" s="6">
        <v>15.0</v>
      </c>
      <c r="F23" s="7">
        <f>SUMIF(population_edit!A$2:A$1276, A23, population_edit!C$2:C$1276)</f>
        <v>88402</v>
      </c>
      <c r="G23" s="7">
        <f>SUMIF(population_edit!A$2:A$1274, A23, population_edit!D$2:D$1276)</f>
        <v>83316</v>
      </c>
      <c r="H23" s="8">
        <f t="shared" ref="H23:I23" si="24">(D23/F23)*100000</f>
        <v>16.9679419</v>
      </c>
      <c r="I23" s="8">
        <f t="shared" si="24"/>
        <v>18.00374478</v>
      </c>
      <c r="J23" s="8">
        <f t="shared" si="3"/>
        <v>17.47050397</v>
      </c>
      <c r="K23" s="9" t="str">
        <f t="shared" si="4"/>
        <v>Высокий</v>
      </c>
    </row>
    <row r="24">
      <c r="A24" s="4" t="s">
        <v>77</v>
      </c>
      <c r="B24" s="4" t="s">
        <v>78</v>
      </c>
      <c r="C24" s="4" t="s">
        <v>79</v>
      </c>
      <c r="D24" s="6">
        <v>67.0</v>
      </c>
      <c r="E24" s="6">
        <v>69.0</v>
      </c>
      <c r="F24" s="7">
        <f>SUMIF(population_edit!A$2:A$1276, A24, population_edit!C$2:C$1276)</f>
        <v>411656</v>
      </c>
      <c r="G24" s="7">
        <f>SUMIF(population_edit!A$2:A$1274, A24, population_edit!D$2:D$1276)</f>
        <v>391580</v>
      </c>
      <c r="H24" s="8">
        <f t="shared" ref="H24:I24" si="25">(D24/F24)*100000</f>
        <v>16.27572536</v>
      </c>
      <c r="I24" s="8">
        <f t="shared" si="25"/>
        <v>17.62092037</v>
      </c>
      <c r="J24" s="8">
        <f t="shared" si="3"/>
        <v>16.93151203</v>
      </c>
      <c r="K24" s="9" t="str">
        <f t="shared" si="4"/>
        <v>Высокий</v>
      </c>
    </row>
    <row r="25">
      <c r="A25" s="4" t="s">
        <v>80</v>
      </c>
      <c r="B25" s="4" t="s">
        <v>81</v>
      </c>
      <c r="C25" s="4" t="s">
        <v>82</v>
      </c>
      <c r="D25" s="6">
        <v>12.0</v>
      </c>
      <c r="E25" s="6">
        <v>12.0</v>
      </c>
      <c r="F25" s="7">
        <f>SUMIF(population_edit!A$2:A$1276, A25, population_edit!C$2:C$1276)</f>
        <v>137798</v>
      </c>
      <c r="G25" s="7">
        <f>SUMIF(population_edit!A$2:A$1274, A25, population_edit!D$2:D$1276)</f>
        <v>130346</v>
      </c>
      <c r="H25" s="8">
        <f t="shared" ref="H25:I25" si="26">(D25/F25)*100000</f>
        <v>8.708399251</v>
      </c>
      <c r="I25" s="8">
        <f t="shared" si="26"/>
        <v>9.206266399</v>
      </c>
      <c r="J25" s="8">
        <f t="shared" si="3"/>
        <v>8.950414703</v>
      </c>
      <c r="K25" s="9" t="str">
        <f t="shared" si="4"/>
        <v>Низкий</v>
      </c>
    </row>
    <row r="26">
      <c r="A26" s="4" t="s">
        <v>83</v>
      </c>
      <c r="B26" s="4" t="s">
        <v>84</v>
      </c>
      <c r="C26" s="4" t="s">
        <v>85</v>
      </c>
      <c r="D26" s="6">
        <v>13.0</v>
      </c>
      <c r="E26" s="6">
        <v>18.0</v>
      </c>
      <c r="F26" s="7">
        <f>SUMIF(population_edit!A$2:A$1276, A26, population_edit!C$2:C$1276)</f>
        <v>60596</v>
      </c>
      <c r="G26" s="7">
        <f>SUMIF(population_edit!A$2:A$1274, A26, population_edit!D$2:D$1276)</f>
        <v>57209</v>
      </c>
      <c r="H26" s="8">
        <f t="shared" ref="H26:I26" si="27">(D26/F26)*100000</f>
        <v>21.45356129</v>
      </c>
      <c r="I26" s="8">
        <f t="shared" si="27"/>
        <v>31.46358091</v>
      </c>
      <c r="J26" s="8">
        <f t="shared" si="3"/>
        <v>26.31467255</v>
      </c>
      <c r="K26" s="9" t="str">
        <f t="shared" si="4"/>
        <v>Высокий</v>
      </c>
    </row>
    <row r="27">
      <c r="A27" s="4" t="s">
        <v>86</v>
      </c>
      <c r="B27" s="4" t="s">
        <v>87</v>
      </c>
      <c r="C27" s="4" t="s">
        <v>88</v>
      </c>
      <c r="D27" s="6">
        <v>2.0</v>
      </c>
      <c r="E27" s="6">
        <v>3.0</v>
      </c>
      <c r="F27" s="7">
        <f>SUMIF(population_edit!A$2:A$1276, A27, population_edit!C$2:C$1276)</f>
        <v>49347</v>
      </c>
      <c r="G27" s="7">
        <f>SUMIF(population_edit!A$2:A$1274, A27, population_edit!D$2:D$1276)</f>
        <v>45991</v>
      </c>
      <c r="H27" s="8">
        <f t="shared" ref="H27:I27" si="28">(D27/F27)*100000</f>
        <v>4.052931283</v>
      </c>
      <c r="I27" s="8">
        <f t="shared" si="28"/>
        <v>6.523015373</v>
      </c>
      <c r="J27" s="8">
        <f t="shared" si="3"/>
        <v>5.244498521</v>
      </c>
      <c r="K27" s="9" t="str">
        <f t="shared" si="4"/>
        <v>Низкий</v>
      </c>
    </row>
    <row r="28">
      <c r="A28" s="4" t="s">
        <v>89</v>
      </c>
      <c r="B28" s="4" t="s">
        <v>90</v>
      </c>
      <c r="C28" s="4" t="s">
        <v>91</v>
      </c>
      <c r="D28" s="6">
        <v>18.0</v>
      </c>
      <c r="E28" s="6">
        <v>9.0</v>
      </c>
      <c r="F28" s="7">
        <f>SUMIF(population_edit!A$2:A$1276, A28, population_edit!C$2:C$1276)</f>
        <v>46383</v>
      </c>
      <c r="G28" s="7">
        <f>SUMIF(population_edit!A$2:A$1274, A28, population_edit!D$2:D$1276)</f>
        <v>43981</v>
      </c>
      <c r="H28" s="8">
        <f t="shared" ref="H28:I28" si="29">(D28/F28)*100000</f>
        <v>38.80732165</v>
      </c>
      <c r="I28" s="8">
        <f t="shared" si="29"/>
        <v>20.46338191</v>
      </c>
      <c r="J28" s="8">
        <f t="shared" si="3"/>
        <v>29.87915542</v>
      </c>
      <c r="K28" s="9" t="str">
        <f t="shared" si="4"/>
        <v>Высокий</v>
      </c>
    </row>
    <row r="29">
      <c r="A29" s="4" t="s">
        <v>92</v>
      </c>
      <c r="B29" s="4" t="s">
        <v>93</v>
      </c>
      <c r="C29" s="4" t="s">
        <v>94</v>
      </c>
      <c r="D29" s="6">
        <v>4.0</v>
      </c>
      <c r="E29" s="6">
        <v>2.0</v>
      </c>
      <c r="F29" s="7">
        <f>SUMIF(population_edit!A$2:A$1276, A29, population_edit!C$2:C$1276)</f>
        <v>43237</v>
      </c>
      <c r="G29" s="7">
        <f>SUMIF(population_edit!A$2:A$1274, A29, population_edit!D$2:D$1276)</f>
        <v>41592</v>
      </c>
      <c r="H29" s="8">
        <f t="shared" ref="H29:I29" si="30">(D29/F29)*100000</f>
        <v>9.251335662</v>
      </c>
      <c r="I29" s="8">
        <f t="shared" si="30"/>
        <v>4.808617042</v>
      </c>
      <c r="J29" s="8">
        <f t="shared" si="3"/>
        <v>7.073052847</v>
      </c>
      <c r="K29" s="9" t="str">
        <f t="shared" si="4"/>
        <v>Низкий</v>
      </c>
    </row>
    <row r="30">
      <c r="A30" s="4" t="s">
        <v>95</v>
      </c>
      <c r="B30" s="4" t="s">
        <v>96</v>
      </c>
      <c r="C30" s="4" t="s">
        <v>97</v>
      </c>
      <c r="D30" s="6">
        <v>10.0</v>
      </c>
      <c r="E30" s="6">
        <v>8.0</v>
      </c>
      <c r="F30" s="7">
        <f>SUMIF(population_edit!A$2:A$1276, A30, population_edit!C$2:C$1276)</f>
        <v>64853</v>
      </c>
      <c r="G30" s="7">
        <f>SUMIF(population_edit!A$2:A$1274, A30, population_edit!D$2:D$1276)</f>
        <v>62593</v>
      </c>
      <c r="H30" s="8">
        <f t="shared" ref="H30:I30" si="31">(D30/F30)*100000</f>
        <v>15.41948715</v>
      </c>
      <c r="I30" s="8">
        <f t="shared" si="31"/>
        <v>12.7809819</v>
      </c>
      <c r="J30" s="8">
        <f t="shared" si="3"/>
        <v>14.12362883</v>
      </c>
      <c r="K30" s="9" t="str">
        <f t="shared" si="4"/>
        <v>Высокий</v>
      </c>
    </row>
    <row r="31">
      <c r="A31" s="4" t="s">
        <v>98</v>
      </c>
      <c r="B31" s="4" t="s">
        <v>99</v>
      </c>
      <c r="C31" s="4" t="s">
        <v>100</v>
      </c>
      <c r="D31" s="6">
        <v>76.0</v>
      </c>
      <c r="E31" s="6">
        <v>44.0</v>
      </c>
      <c r="F31" s="7">
        <f>SUMIF(population_edit!A$2:A$1276, A31, population_edit!C$2:C$1276)</f>
        <v>535724</v>
      </c>
      <c r="G31" s="7">
        <f>SUMIF(population_edit!A$2:A$1274, A31, population_edit!D$2:D$1276)</f>
        <v>506078</v>
      </c>
      <c r="H31" s="8">
        <f t="shared" ref="H31:I31" si="32">(D31/F31)*100000</f>
        <v>14.18640942</v>
      </c>
      <c r="I31" s="8">
        <f t="shared" si="32"/>
        <v>8.694311944</v>
      </c>
      <c r="J31" s="8">
        <f t="shared" si="3"/>
        <v>11.51850352</v>
      </c>
      <c r="K31" s="9" t="str">
        <f t="shared" si="4"/>
        <v>Средний</v>
      </c>
    </row>
    <row r="32">
      <c r="A32" s="4" t="s">
        <v>101</v>
      </c>
      <c r="B32" s="4" t="s">
        <v>102</v>
      </c>
      <c r="C32" s="4" t="s">
        <v>103</v>
      </c>
      <c r="D32" s="6">
        <v>15.0</v>
      </c>
      <c r="E32" s="6">
        <v>9.0</v>
      </c>
      <c r="F32" s="7">
        <f>SUMIF(population_edit!A$2:A$1276, A32, population_edit!C$2:C$1276)</f>
        <v>97133</v>
      </c>
      <c r="G32" s="7">
        <f>SUMIF(population_edit!A$2:A$1274, A32, population_edit!D$2:D$1276)</f>
        <v>92467</v>
      </c>
      <c r="H32" s="8">
        <f t="shared" ref="H32:I32" si="33">(D32/F32)*100000</f>
        <v>15.44274345</v>
      </c>
      <c r="I32" s="8">
        <f t="shared" si="33"/>
        <v>9.733202115</v>
      </c>
      <c r="J32" s="8">
        <f t="shared" si="3"/>
        <v>12.65822785</v>
      </c>
      <c r="K32" s="9" t="str">
        <f t="shared" si="4"/>
        <v>Средний</v>
      </c>
    </row>
    <row r="33">
      <c r="A33" s="4" t="s">
        <v>104</v>
      </c>
      <c r="B33" s="4" t="s">
        <v>105</v>
      </c>
      <c r="C33" s="4" t="s">
        <v>106</v>
      </c>
      <c r="D33" s="6">
        <v>24.0</v>
      </c>
      <c r="E33" s="6">
        <v>14.0</v>
      </c>
      <c r="F33" s="7">
        <f>SUMIF(population_edit!A$2:A$1276, A33, population_edit!C$2:C$1276)</f>
        <v>192712</v>
      </c>
      <c r="G33" s="7">
        <f>SUMIF(population_edit!A$2:A$1274, A33, population_edit!D$2:D$1276)</f>
        <v>182093</v>
      </c>
      <c r="H33" s="8">
        <f t="shared" ref="H33:I33" si="34">(D33/F33)*100000</f>
        <v>12.45381709</v>
      </c>
      <c r="I33" s="8">
        <f t="shared" si="34"/>
        <v>7.688379015</v>
      </c>
      <c r="J33" s="8">
        <f t="shared" si="3"/>
        <v>10.13860541</v>
      </c>
      <c r="K33" s="9" t="str">
        <f t="shared" si="4"/>
        <v>Средний</v>
      </c>
    </row>
    <row r="34">
      <c r="A34" s="4" t="s">
        <v>107</v>
      </c>
      <c r="B34" s="4" t="s">
        <v>108</v>
      </c>
      <c r="C34" s="4" t="s">
        <v>109</v>
      </c>
      <c r="D34" s="6">
        <v>23.0</v>
      </c>
      <c r="E34" s="6">
        <v>29.0</v>
      </c>
      <c r="F34" s="7">
        <f>SUMIF(population_edit!A$2:A$1276, A34, population_edit!C$2:C$1276)</f>
        <v>339364</v>
      </c>
      <c r="G34" s="7">
        <f>SUMIF(population_edit!A$2:A$1274, A34, population_edit!D$2:D$1276)</f>
        <v>320654</v>
      </c>
      <c r="H34" s="8">
        <f t="shared" ref="H34:I34" si="35">(D34/F34)*100000</f>
        <v>6.777383576</v>
      </c>
      <c r="I34" s="8">
        <f t="shared" si="35"/>
        <v>9.044016292</v>
      </c>
      <c r="J34" s="8">
        <f t="shared" si="3"/>
        <v>7.878573009</v>
      </c>
      <c r="K34" s="9" t="str">
        <f t="shared" si="4"/>
        <v>Низкий</v>
      </c>
    </row>
    <row r="35">
      <c r="A35" s="4" t="s">
        <v>110</v>
      </c>
      <c r="B35" s="4" t="s">
        <v>111</v>
      </c>
      <c r="C35" s="4" t="s">
        <v>112</v>
      </c>
      <c r="D35" s="6">
        <v>1.0</v>
      </c>
      <c r="E35" s="6">
        <v>1.0</v>
      </c>
      <c r="F35" s="7">
        <f>SUMIF(population_edit!A$2:A$1276, A35, population_edit!C$2:C$1276)</f>
        <v>47312</v>
      </c>
      <c r="G35" s="7">
        <f>SUMIF(population_edit!A$2:A$1274, A35, population_edit!D$2:D$1276)</f>
        <v>45142</v>
      </c>
      <c r="H35" s="8">
        <f t="shared" ref="H35:I35" si="36">(D35/F35)*100000</f>
        <v>2.113628678</v>
      </c>
      <c r="I35" s="8">
        <f t="shared" si="36"/>
        <v>2.215231935</v>
      </c>
      <c r="J35" s="8">
        <f t="shared" si="3"/>
        <v>2.163237935</v>
      </c>
      <c r="K35" s="9" t="str">
        <f t="shared" si="4"/>
        <v>Низкий</v>
      </c>
    </row>
    <row r="36">
      <c r="A36" s="4" t="s">
        <v>113</v>
      </c>
      <c r="B36" s="4" t="s">
        <v>114</v>
      </c>
      <c r="C36" s="4" t="s">
        <v>115</v>
      </c>
      <c r="D36" s="6">
        <v>3.0</v>
      </c>
      <c r="E36" s="6">
        <v>1.0</v>
      </c>
      <c r="F36" s="7">
        <f>SUMIF(population_edit!A$2:A$1276, A36, population_edit!C$2:C$1276)</f>
        <v>27376</v>
      </c>
      <c r="G36" s="7">
        <f>SUMIF(population_edit!A$2:A$1274, A36, population_edit!D$2:D$1276)</f>
        <v>25820</v>
      </c>
      <c r="H36" s="8">
        <f t="shared" ref="H36:I36" si="37">(D36/F36)*100000</f>
        <v>10.9585038</v>
      </c>
      <c r="I36" s="8">
        <f t="shared" si="37"/>
        <v>3.872966692</v>
      </c>
      <c r="J36" s="8">
        <f t="shared" si="3"/>
        <v>7.519362358</v>
      </c>
      <c r="K36" s="9" t="str">
        <f t="shared" si="4"/>
        <v>Низкий</v>
      </c>
    </row>
    <row r="37">
      <c r="A37" s="4" t="s">
        <v>116</v>
      </c>
      <c r="B37" s="4" t="s">
        <v>117</v>
      </c>
      <c r="C37" s="4" t="s">
        <v>118</v>
      </c>
      <c r="D37" s="6">
        <v>25.0</v>
      </c>
      <c r="E37" s="6">
        <v>19.0</v>
      </c>
      <c r="F37" s="7">
        <f>SUMIF(population_edit!A$2:A$1276, A37, population_edit!C$2:C$1276)</f>
        <v>170413</v>
      </c>
      <c r="G37" s="7">
        <f>SUMIF(population_edit!A$2:A$1274, A37, population_edit!D$2:D$1276)</f>
        <v>165590</v>
      </c>
      <c r="H37" s="8">
        <f t="shared" ref="H37:I37" si="38">(D37/F37)*100000</f>
        <v>14.67024229</v>
      </c>
      <c r="I37" s="8">
        <f t="shared" si="38"/>
        <v>11.47412283</v>
      </c>
      <c r="J37" s="8">
        <f t="shared" si="3"/>
        <v>13.09512117</v>
      </c>
      <c r="K37" s="9" t="str">
        <f t="shared" si="4"/>
        <v>Средний</v>
      </c>
    </row>
    <row r="38">
      <c r="A38" s="4" t="s">
        <v>119</v>
      </c>
      <c r="B38" s="4" t="s">
        <v>120</v>
      </c>
      <c r="C38" s="4" t="s">
        <v>121</v>
      </c>
      <c r="D38" s="6">
        <v>10.0</v>
      </c>
      <c r="E38" s="6">
        <v>4.0</v>
      </c>
      <c r="F38" s="7">
        <f>SUMIF(population_edit!A$2:A$1276, A38, population_edit!C$2:C$1276)</f>
        <v>45455</v>
      </c>
      <c r="G38" s="7">
        <f>SUMIF(population_edit!A$2:A$1274, A38, population_edit!D$2:D$1276)</f>
        <v>42819</v>
      </c>
      <c r="H38" s="8">
        <f t="shared" ref="H38:I38" si="39">(D38/F38)*100000</f>
        <v>21.99978</v>
      </c>
      <c r="I38" s="8">
        <f t="shared" si="39"/>
        <v>9.3416474</v>
      </c>
      <c r="J38" s="8">
        <f t="shared" si="3"/>
        <v>15.85970954</v>
      </c>
      <c r="K38" s="9" t="str">
        <f t="shared" si="4"/>
        <v>Высокий</v>
      </c>
    </row>
    <row r="39">
      <c r="A39" s="4" t="s">
        <v>122</v>
      </c>
      <c r="B39" s="4" t="s">
        <v>123</v>
      </c>
      <c r="C39" s="4" t="s">
        <v>124</v>
      </c>
      <c r="D39" s="6">
        <v>36.0</v>
      </c>
      <c r="E39" s="6">
        <v>33.0</v>
      </c>
      <c r="F39" s="7">
        <f>SUMIF(population_edit!A$2:A$1276, A39, population_edit!C$2:C$1276)</f>
        <v>255705</v>
      </c>
      <c r="G39" s="7">
        <f>SUMIF(population_edit!A$2:A$1274, A39, population_edit!D$2:D$1276)</f>
        <v>241614</v>
      </c>
      <c r="H39" s="8">
        <f t="shared" ref="H39:I39" si="40">(D39/F39)*100000</f>
        <v>14.07872353</v>
      </c>
      <c r="I39" s="8">
        <f t="shared" si="40"/>
        <v>13.65814895</v>
      </c>
      <c r="J39" s="8">
        <f t="shared" si="3"/>
        <v>13.8743945</v>
      </c>
      <c r="K39" s="9" t="str">
        <f t="shared" si="4"/>
        <v>Высокий</v>
      </c>
    </row>
    <row r="40">
      <c r="A40" s="4" t="s">
        <v>125</v>
      </c>
      <c r="B40" s="4" t="s">
        <v>126</v>
      </c>
      <c r="C40" s="4" t="s">
        <v>127</v>
      </c>
      <c r="D40" s="6">
        <v>8.0</v>
      </c>
      <c r="E40" s="6">
        <v>6.0</v>
      </c>
      <c r="F40" s="7">
        <f>SUMIF(population_edit!A$2:A$1276, A40, population_edit!C$2:C$1276)</f>
        <v>69361</v>
      </c>
      <c r="G40" s="7">
        <f>SUMIF(population_edit!A$2:A$1274, A40, population_edit!D$2:D$1276)</f>
        <v>65855</v>
      </c>
      <c r="H40" s="8">
        <f t="shared" ref="H40:I40" si="41">(D40/F40)*100000</f>
        <v>11.53385909</v>
      </c>
      <c r="I40" s="8">
        <f t="shared" si="41"/>
        <v>9.110925518</v>
      </c>
      <c r="J40" s="8">
        <f t="shared" si="3"/>
        <v>10.35380428</v>
      </c>
      <c r="K40" s="9" t="str">
        <f t="shared" si="4"/>
        <v>Средний</v>
      </c>
    </row>
    <row r="41">
      <c r="A41" s="4" t="s">
        <v>128</v>
      </c>
      <c r="B41" s="4" t="s">
        <v>129</v>
      </c>
      <c r="C41" s="4" t="s">
        <v>130</v>
      </c>
      <c r="D41" s="6">
        <v>46.0</v>
      </c>
      <c r="E41" s="6">
        <v>39.0</v>
      </c>
      <c r="F41" s="7">
        <f>SUMIF(population_edit!A$2:A$1276, A41, population_edit!C$2:C$1276)</f>
        <v>393308</v>
      </c>
      <c r="G41" s="7">
        <f>SUMIF(population_edit!A$2:A$1274, A41, population_edit!D$2:D$1276)</f>
        <v>365406</v>
      </c>
      <c r="H41" s="8">
        <f t="shared" ref="H41:I41" si="42">(D41/F41)*100000</f>
        <v>11.69566853</v>
      </c>
      <c r="I41" s="8">
        <f t="shared" si="42"/>
        <v>10.67305956</v>
      </c>
      <c r="J41" s="8">
        <f t="shared" si="3"/>
        <v>11.20316746</v>
      </c>
      <c r="K41" s="9" t="str">
        <f t="shared" si="4"/>
        <v>Средний</v>
      </c>
    </row>
    <row r="42">
      <c r="A42" s="4" t="s">
        <v>131</v>
      </c>
      <c r="B42" s="4" t="s">
        <v>132</v>
      </c>
      <c r="C42" s="4" t="s">
        <v>133</v>
      </c>
      <c r="D42" s="6">
        <v>10.0</v>
      </c>
      <c r="E42" s="6">
        <v>9.0</v>
      </c>
      <c r="F42" s="7">
        <f>SUMIF(population_edit!A$2:A$1276, A42, population_edit!C$2:C$1276)</f>
        <v>95244</v>
      </c>
      <c r="G42" s="7">
        <f>SUMIF(population_edit!A$2:A$1274, A42, population_edit!D$2:D$1276)</f>
        <v>91233</v>
      </c>
      <c r="H42" s="8">
        <f t="shared" ref="H42:I42" si="43">(D42/F42)*100000</f>
        <v>10.49934904</v>
      </c>
      <c r="I42" s="8">
        <f t="shared" si="43"/>
        <v>9.864851534</v>
      </c>
      <c r="J42" s="8">
        <f t="shared" si="3"/>
        <v>10.1889241</v>
      </c>
      <c r="K42" s="9" t="str">
        <f t="shared" si="4"/>
        <v>Средний</v>
      </c>
    </row>
    <row r="43">
      <c r="A43" s="4" t="s">
        <v>134</v>
      </c>
      <c r="B43" s="4" t="s">
        <v>135</v>
      </c>
      <c r="C43" s="4" t="s">
        <v>136</v>
      </c>
      <c r="D43" s="6">
        <v>19.0</v>
      </c>
      <c r="E43" s="6">
        <v>8.0</v>
      </c>
      <c r="F43" s="7">
        <f>SUMIF(population_edit!A$2:A$1276, A43, population_edit!C$2:C$1276)</f>
        <v>65269</v>
      </c>
      <c r="G43" s="7">
        <f>SUMIF(population_edit!A$2:A$1274, A43, population_edit!D$2:D$1276)</f>
        <v>61682</v>
      </c>
      <c r="H43" s="8">
        <f t="shared" ref="H43:I43" si="44">(D43/F43)*100000</f>
        <v>29.11029738</v>
      </c>
      <c r="I43" s="8">
        <f t="shared" si="44"/>
        <v>12.96974806</v>
      </c>
      <c r="J43" s="8">
        <f t="shared" si="3"/>
        <v>21.2680483</v>
      </c>
      <c r="K43" s="9" t="str">
        <f t="shared" si="4"/>
        <v>Высокий</v>
      </c>
    </row>
    <row r="44">
      <c r="A44" s="4" t="s">
        <v>137</v>
      </c>
      <c r="B44" s="4" t="s">
        <v>138</v>
      </c>
      <c r="C44" s="4" t="s">
        <v>139</v>
      </c>
      <c r="D44" s="6">
        <v>6.0</v>
      </c>
      <c r="E44" s="6">
        <v>1.0</v>
      </c>
      <c r="F44" s="7">
        <f>SUMIF(population_edit!A$2:A$1276, A44, population_edit!C$2:C$1276)</f>
        <v>47054</v>
      </c>
      <c r="G44" s="7">
        <f>SUMIF(population_edit!A$2:A$1274, A44, population_edit!D$2:D$1276)</f>
        <v>44642</v>
      </c>
      <c r="H44" s="8">
        <f t="shared" ref="H44:I44" si="45">(D44/F44)*100000</f>
        <v>12.75130701</v>
      </c>
      <c r="I44" s="8">
        <f t="shared" si="45"/>
        <v>2.240043009</v>
      </c>
      <c r="J44" s="8">
        <f t="shared" si="3"/>
        <v>7.633920782</v>
      </c>
      <c r="K44" s="9" t="str">
        <f t="shared" si="4"/>
        <v>Низкий</v>
      </c>
    </row>
    <row r="45">
      <c r="A45" s="4" t="s">
        <v>140</v>
      </c>
      <c r="B45" s="4" t="s">
        <v>141</v>
      </c>
      <c r="C45" s="4" t="s">
        <v>142</v>
      </c>
      <c r="D45" s="6">
        <v>25.0</v>
      </c>
      <c r="E45" s="6">
        <v>16.0</v>
      </c>
      <c r="F45" s="7">
        <f>SUMIF(population_edit!A$2:A$1276, A45, population_edit!C$2:C$1276)</f>
        <v>240081</v>
      </c>
      <c r="G45" s="7">
        <f>SUMIF(population_edit!A$2:A$1274, A45, population_edit!D$2:D$1276)</f>
        <v>225308</v>
      </c>
      <c r="H45" s="8">
        <f t="shared" ref="H45:I45" si="46">(D45/F45)*100000</f>
        <v>10.41315223</v>
      </c>
      <c r="I45" s="8">
        <f t="shared" si="46"/>
        <v>7.101390097</v>
      </c>
      <c r="J45" s="8">
        <f t="shared" si="3"/>
        <v>8.809834354</v>
      </c>
      <c r="K45" s="9" t="str">
        <f t="shared" si="4"/>
        <v>Низкий</v>
      </c>
    </row>
    <row r="46">
      <c r="A46" s="4" t="s">
        <v>143</v>
      </c>
      <c r="B46" s="4" t="s">
        <v>144</v>
      </c>
      <c r="C46" s="4" t="s">
        <v>145</v>
      </c>
      <c r="D46" s="6">
        <v>45.0</v>
      </c>
      <c r="E46" s="6">
        <v>21.0</v>
      </c>
      <c r="F46" s="7">
        <f>SUMIF(population_edit!A$2:A$1276, A46, population_edit!C$2:C$1276)</f>
        <v>259855</v>
      </c>
      <c r="G46" s="7">
        <f>SUMIF(population_edit!A$2:A$1274, A46, population_edit!D$2:D$1276)</f>
        <v>245440</v>
      </c>
      <c r="H46" s="8">
        <f t="shared" ref="H46:I46" si="47">(D46/F46)*100000</f>
        <v>17.31735006</v>
      </c>
      <c r="I46" s="8">
        <f t="shared" si="47"/>
        <v>8.556062581</v>
      </c>
      <c r="J46" s="8">
        <f t="shared" si="3"/>
        <v>13.06167684</v>
      </c>
      <c r="K46" s="9" t="str">
        <f t="shared" si="4"/>
        <v>Средний</v>
      </c>
    </row>
    <row r="47">
      <c r="A47" s="4" t="s">
        <v>146</v>
      </c>
      <c r="B47" s="4" t="s">
        <v>147</v>
      </c>
      <c r="C47" s="4" t="s">
        <v>148</v>
      </c>
      <c r="D47" s="6">
        <v>12.0</v>
      </c>
      <c r="E47" s="6">
        <v>12.0</v>
      </c>
      <c r="F47" s="7">
        <f>SUMIF(population_edit!A$2:A$1276, A47, population_edit!C$2:C$1276)</f>
        <v>93783</v>
      </c>
      <c r="G47" s="7">
        <f>SUMIF(population_edit!A$2:A$1274, A47, population_edit!D$2:D$1276)</f>
        <v>89642</v>
      </c>
      <c r="H47" s="8">
        <f t="shared" ref="H47:I47" si="48">(D47/F47)*100000</f>
        <v>12.79549599</v>
      </c>
      <c r="I47" s="8">
        <f t="shared" si="48"/>
        <v>13.38658218</v>
      </c>
      <c r="J47" s="8">
        <f t="shared" si="3"/>
        <v>13.08436691</v>
      </c>
      <c r="K47" s="9" t="str">
        <f t="shared" si="4"/>
        <v>Средний</v>
      </c>
    </row>
    <row r="48">
      <c r="A48" s="4" t="s">
        <v>149</v>
      </c>
      <c r="B48" s="4" t="s">
        <v>150</v>
      </c>
      <c r="C48" s="4" t="s">
        <v>151</v>
      </c>
      <c r="D48" s="6">
        <v>47.0</v>
      </c>
      <c r="E48" s="6">
        <v>36.0</v>
      </c>
      <c r="F48" s="7">
        <f>SUMIF(population_edit!A$2:A$1276, A48, population_edit!C$2:C$1276)</f>
        <v>265143</v>
      </c>
      <c r="G48" s="7">
        <f>SUMIF(population_edit!A$2:A$1274, A48, population_edit!D$2:D$1276)</f>
        <v>249964</v>
      </c>
      <c r="H48" s="8">
        <f t="shared" ref="H48:I48" si="49">(D48/F48)*100000</f>
        <v>17.72628355</v>
      </c>
      <c r="I48" s="8">
        <f t="shared" si="49"/>
        <v>14.4020739</v>
      </c>
      <c r="J48" s="8">
        <f t="shared" si="3"/>
        <v>16.11315707</v>
      </c>
      <c r="K48" s="9" t="str">
        <f t="shared" si="4"/>
        <v>Высокий</v>
      </c>
    </row>
    <row r="49">
      <c r="A49" s="4" t="s">
        <v>152</v>
      </c>
      <c r="B49" s="4" t="s">
        <v>153</v>
      </c>
      <c r="C49" s="4" t="s">
        <v>154</v>
      </c>
      <c r="D49" s="6">
        <v>23.0</v>
      </c>
      <c r="E49" s="6">
        <v>16.0</v>
      </c>
      <c r="F49" s="7">
        <f>SUMIF(population_edit!A$2:A$1276, A49, population_edit!C$2:C$1276)</f>
        <v>172847</v>
      </c>
      <c r="G49" s="7">
        <f>SUMIF(population_edit!A$2:A$1274, A49, population_edit!D$2:D$1276)</f>
        <v>162175</v>
      </c>
      <c r="H49" s="8">
        <f t="shared" ref="H49:I49" si="50">(D49/F49)*100000</f>
        <v>13.30656592</v>
      </c>
      <c r="I49" s="8">
        <f t="shared" si="50"/>
        <v>9.865885617</v>
      </c>
      <c r="J49" s="8">
        <f t="shared" si="3"/>
        <v>11.64102656</v>
      </c>
      <c r="K49" s="9" t="str">
        <f t="shared" si="4"/>
        <v>Средний</v>
      </c>
    </row>
    <row r="50">
      <c r="A50" s="4" t="s">
        <v>155</v>
      </c>
      <c r="B50" s="4" t="s">
        <v>156</v>
      </c>
      <c r="C50" s="4" t="s">
        <v>157</v>
      </c>
      <c r="D50" s="6">
        <v>14.0</v>
      </c>
      <c r="E50" s="6">
        <v>10.0</v>
      </c>
      <c r="F50" s="7">
        <f>SUMIF(population_edit!A$2:A$1276, A50, population_edit!C$2:C$1276)</f>
        <v>93988</v>
      </c>
      <c r="G50" s="7">
        <f>SUMIF(population_edit!A$2:A$1274, A50, population_edit!D$2:D$1276)</f>
        <v>90100</v>
      </c>
      <c r="H50" s="8">
        <f t="shared" ref="H50:I50" si="51">(D50/F50)*100000</f>
        <v>14.89551858</v>
      </c>
      <c r="I50" s="8">
        <f t="shared" si="51"/>
        <v>11.09877913</v>
      </c>
      <c r="J50" s="8">
        <f t="shared" si="3"/>
        <v>13.03724306</v>
      </c>
      <c r="K50" s="9" t="str">
        <f t="shared" si="4"/>
        <v>Средний</v>
      </c>
    </row>
    <row r="51">
      <c r="A51" s="4" t="s">
        <v>158</v>
      </c>
      <c r="B51" s="4" t="s">
        <v>159</v>
      </c>
      <c r="C51" s="4" t="s">
        <v>160</v>
      </c>
      <c r="D51" s="6">
        <v>29.0</v>
      </c>
      <c r="E51" s="6">
        <v>38.0</v>
      </c>
      <c r="F51" s="7">
        <f>SUMIF(population_edit!A$2:A$1276, A51, population_edit!C$2:C$1276)</f>
        <v>246417</v>
      </c>
      <c r="G51" s="7">
        <f>SUMIF(population_edit!A$2:A$1274, A51, population_edit!D$2:D$1276)</f>
        <v>230772</v>
      </c>
      <c r="H51" s="8">
        <f t="shared" ref="H51:I51" si="52">(D51/F51)*100000</f>
        <v>11.76866856</v>
      </c>
      <c r="I51" s="8">
        <f t="shared" si="52"/>
        <v>16.46646907</v>
      </c>
      <c r="J51" s="8">
        <f t="shared" si="3"/>
        <v>14.04055835</v>
      </c>
      <c r="K51" s="9" t="str">
        <f t="shared" si="4"/>
        <v>Высокий</v>
      </c>
    </row>
    <row r="52">
      <c r="A52" s="4" t="s">
        <v>161</v>
      </c>
      <c r="B52" s="4" t="s">
        <v>162</v>
      </c>
      <c r="C52" s="4" t="s">
        <v>163</v>
      </c>
      <c r="D52" s="6">
        <v>28.0</v>
      </c>
      <c r="E52" s="6">
        <v>20.0</v>
      </c>
      <c r="F52" s="7">
        <f>SUMIF(population_edit!A$2:A$1276, A52, population_edit!C$2:C$1276)</f>
        <v>187141</v>
      </c>
      <c r="G52" s="7">
        <f>SUMIF(population_edit!A$2:A$1274, A52, population_edit!D$2:D$1276)</f>
        <v>175548</v>
      </c>
      <c r="H52" s="8">
        <f t="shared" ref="H52:I52" si="53">(D52/F52)*100000</f>
        <v>14.96198054</v>
      </c>
      <c r="I52" s="8">
        <f t="shared" si="53"/>
        <v>11.39289539</v>
      </c>
      <c r="J52" s="8">
        <f t="shared" si="3"/>
        <v>13.23447913</v>
      </c>
      <c r="K52" s="9" t="str">
        <f t="shared" si="4"/>
        <v>Средний</v>
      </c>
    </row>
    <row r="53">
      <c r="A53" s="4" t="s">
        <v>164</v>
      </c>
      <c r="B53" s="4" t="s">
        <v>165</v>
      </c>
      <c r="C53" s="4" t="s">
        <v>166</v>
      </c>
      <c r="D53" s="6">
        <v>10.0</v>
      </c>
      <c r="E53" s="6">
        <v>9.0</v>
      </c>
      <c r="F53" s="7">
        <f>SUMIF(population_edit!A$2:A$1276, A53, population_edit!C$2:C$1276)</f>
        <v>96951</v>
      </c>
      <c r="G53" s="7">
        <f>SUMIF(population_edit!A$2:A$1274, A53, population_edit!D$2:D$1276)</f>
        <v>91473</v>
      </c>
      <c r="H53" s="8">
        <f t="shared" ref="H53:I53" si="54">(D53/F53)*100000</f>
        <v>10.31448876</v>
      </c>
      <c r="I53" s="8">
        <f t="shared" si="54"/>
        <v>9.838968876</v>
      </c>
      <c r="J53" s="8">
        <f t="shared" si="3"/>
        <v>10.08364115</v>
      </c>
      <c r="K53" s="9" t="str">
        <f t="shared" si="4"/>
        <v>Средний</v>
      </c>
    </row>
    <row r="54">
      <c r="A54" s="4" t="s">
        <v>167</v>
      </c>
      <c r="B54" s="4" t="s">
        <v>168</v>
      </c>
      <c r="C54" s="4" t="s">
        <v>169</v>
      </c>
      <c r="D54" s="6">
        <v>57.0</v>
      </c>
      <c r="E54" s="6">
        <v>56.0</v>
      </c>
      <c r="F54" s="7">
        <f>SUMIF(population_edit!A$2:A$1276, A54, population_edit!C$2:C$1276)</f>
        <v>390869</v>
      </c>
      <c r="G54" s="7">
        <f>SUMIF(population_edit!A$2:A$1274, A54, population_edit!D$2:D$1276)</f>
        <v>369394</v>
      </c>
      <c r="H54" s="8">
        <f t="shared" ref="H54:I54" si="55">(D54/F54)*100000</f>
        <v>14.58289094</v>
      </c>
      <c r="I54" s="8">
        <f t="shared" si="55"/>
        <v>15.1599647</v>
      </c>
      <c r="J54" s="8">
        <f t="shared" si="3"/>
        <v>14.86327758</v>
      </c>
      <c r="K54" s="9" t="str">
        <f t="shared" si="4"/>
        <v>Высокий</v>
      </c>
    </row>
    <row r="55">
      <c r="A55" s="4" t="s">
        <v>170</v>
      </c>
      <c r="B55" s="4" t="s">
        <v>171</v>
      </c>
      <c r="C55" s="4" t="s">
        <v>172</v>
      </c>
      <c r="D55" s="6">
        <v>10.0</v>
      </c>
      <c r="E55" s="6">
        <v>8.0</v>
      </c>
      <c r="F55" s="7">
        <f>SUMIF(population_edit!A$2:A$1276, A55, population_edit!C$2:C$1276)</f>
        <v>63003</v>
      </c>
      <c r="G55" s="7">
        <f>SUMIF(population_edit!A$2:A$1274, A55, population_edit!D$2:D$1276)</f>
        <v>60417</v>
      </c>
      <c r="H55" s="8">
        <f t="shared" ref="H55:I55" si="56">(D55/F55)*100000</f>
        <v>15.87226005</v>
      </c>
      <c r="I55" s="8">
        <f t="shared" si="56"/>
        <v>13.24130625</v>
      </c>
      <c r="J55" s="8">
        <f t="shared" si="3"/>
        <v>14.58434614</v>
      </c>
      <c r="K55" s="9" t="str">
        <f t="shared" si="4"/>
        <v>Высокий</v>
      </c>
    </row>
    <row r="56">
      <c r="A56" s="4" t="s">
        <v>173</v>
      </c>
      <c r="B56" s="4" t="s">
        <v>174</v>
      </c>
      <c r="C56" s="4" t="s">
        <v>175</v>
      </c>
      <c r="D56" s="6">
        <v>8.0</v>
      </c>
      <c r="E56" s="6">
        <v>7.0</v>
      </c>
      <c r="F56" s="7">
        <f>SUMIF(population_edit!A$2:A$1276, A56, population_edit!C$2:C$1276)</f>
        <v>53273</v>
      </c>
      <c r="G56" s="7">
        <f>SUMIF(population_edit!A$2:A$1274, A56, population_edit!D$2:D$1276)</f>
        <v>51253</v>
      </c>
      <c r="H56" s="8">
        <f t="shared" ref="H56:I56" si="57">(D56/F56)*100000</f>
        <v>15.01698797</v>
      </c>
      <c r="I56" s="8">
        <f t="shared" si="57"/>
        <v>13.65773711</v>
      </c>
      <c r="J56" s="8">
        <f t="shared" si="3"/>
        <v>14.35049653</v>
      </c>
      <c r="K56" s="9" t="str">
        <f t="shared" si="4"/>
        <v>Высокий</v>
      </c>
    </row>
    <row r="57">
      <c r="A57" s="4" t="s">
        <v>176</v>
      </c>
      <c r="B57" s="4" t="s">
        <v>177</v>
      </c>
      <c r="C57" s="4" t="s">
        <v>178</v>
      </c>
      <c r="D57" s="6">
        <v>40.0</v>
      </c>
      <c r="E57" s="6">
        <v>26.0</v>
      </c>
      <c r="F57" s="7">
        <f>SUMIF(population_edit!A$2:A$1276, A57, population_edit!C$2:C$1276)</f>
        <v>377237</v>
      </c>
      <c r="G57" s="7">
        <f>SUMIF(population_edit!A$2:A$1274, A57, population_edit!D$2:D$1276)</f>
        <v>356931</v>
      </c>
      <c r="H57" s="8">
        <f t="shared" ref="H57:I57" si="58">(D57/F57)*100000</f>
        <v>10.60341377</v>
      </c>
      <c r="I57" s="8">
        <f t="shared" si="58"/>
        <v>7.284321059</v>
      </c>
      <c r="J57" s="8">
        <f t="shared" si="3"/>
        <v>8.98976801</v>
      </c>
      <c r="K57" s="9" t="str">
        <f t="shared" si="4"/>
        <v>Низкий</v>
      </c>
    </row>
    <row r="58">
      <c r="A58" s="4" t="s">
        <v>179</v>
      </c>
      <c r="B58" s="4" t="s">
        <v>180</v>
      </c>
      <c r="C58" s="4" t="s">
        <v>181</v>
      </c>
      <c r="D58" s="6">
        <v>15.0</v>
      </c>
      <c r="E58" s="6">
        <v>17.0</v>
      </c>
      <c r="F58" s="7">
        <f>SUMIF(population_edit!A$2:A$1276, A58, population_edit!C$2:C$1276)</f>
        <v>141628</v>
      </c>
      <c r="G58" s="7">
        <f>SUMIF(population_edit!A$2:A$1274, A58, population_edit!D$2:D$1276)</f>
        <v>134615</v>
      </c>
      <c r="H58" s="8">
        <f t="shared" ref="H58:I58" si="59">(D58/F58)*100000</f>
        <v>10.59112605</v>
      </c>
      <c r="I58" s="8">
        <f t="shared" si="59"/>
        <v>12.62860751</v>
      </c>
      <c r="J58" s="8">
        <f t="shared" si="3"/>
        <v>11.58400394</v>
      </c>
      <c r="K58" s="9" t="str">
        <f t="shared" si="4"/>
        <v>Средний</v>
      </c>
    </row>
    <row r="59">
      <c r="A59" s="4" t="s">
        <v>182</v>
      </c>
      <c r="B59" s="4" t="s">
        <v>183</v>
      </c>
      <c r="C59" s="4" t="s">
        <v>184</v>
      </c>
      <c r="D59" s="6">
        <v>8.0</v>
      </c>
      <c r="E59" s="6">
        <v>13.0</v>
      </c>
      <c r="F59" s="7">
        <f>SUMIF(population_edit!A$2:A$1276, A59, population_edit!C$2:C$1276)</f>
        <v>110378</v>
      </c>
      <c r="G59" s="7">
        <f>SUMIF(population_edit!A$2:A$1274, A59, population_edit!D$2:D$1276)</f>
        <v>104542</v>
      </c>
      <c r="H59" s="8">
        <f t="shared" ref="H59:I59" si="60">(D59/F59)*100000</f>
        <v>7.247821124</v>
      </c>
      <c r="I59" s="8">
        <f t="shared" si="60"/>
        <v>12.43519351</v>
      </c>
      <c r="J59" s="8">
        <f t="shared" si="3"/>
        <v>9.77107761</v>
      </c>
      <c r="K59" s="9" t="str">
        <f t="shared" si="4"/>
        <v>Низкий</v>
      </c>
    </row>
    <row r="60">
      <c r="A60" s="4" t="s">
        <v>185</v>
      </c>
      <c r="B60" s="4" t="s">
        <v>186</v>
      </c>
      <c r="C60" s="4" t="s">
        <v>187</v>
      </c>
      <c r="D60" s="6">
        <v>23.0</v>
      </c>
      <c r="E60" s="6">
        <v>27.0</v>
      </c>
      <c r="F60" s="7">
        <f>SUMIF(population_edit!A$2:A$1276, A60, population_edit!C$2:C$1276)</f>
        <v>188899</v>
      </c>
      <c r="G60" s="7">
        <f>SUMIF(population_edit!A$2:A$1274, A60, population_edit!D$2:D$1276)</f>
        <v>179157</v>
      </c>
      <c r="H60" s="8">
        <f t="shared" ref="H60:I60" si="61">(D60/F60)*100000</f>
        <v>12.17581882</v>
      </c>
      <c r="I60" s="8">
        <f t="shared" si="61"/>
        <v>15.07058055</v>
      </c>
      <c r="J60" s="8">
        <f t="shared" si="3"/>
        <v>13.58488926</v>
      </c>
      <c r="K60" s="9" t="str">
        <f t="shared" si="4"/>
        <v>Высокий</v>
      </c>
    </row>
    <row r="61">
      <c r="A61" s="4" t="s">
        <v>188</v>
      </c>
      <c r="B61" s="4" t="s">
        <v>189</v>
      </c>
      <c r="C61" s="4" t="s">
        <v>190</v>
      </c>
      <c r="D61" s="6">
        <v>8.0</v>
      </c>
      <c r="E61" s="6">
        <v>9.0</v>
      </c>
      <c r="F61" s="7">
        <f>SUMIF(population_edit!A$2:A$1276, A61, population_edit!C$2:C$1276)</f>
        <v>57182</v>
      </c>
      <c r="G61" s="7">
        <f>SUMIF(population_edit!A$2:A$1274, A61, population_edit!D$2:D$1276)</f>
        <v>54716</v>
      </c>
      <c r="H61" s="8">
        <f t="shared" ref="H61:I61" si="62">(D61/F61)*100000</f>
        <v>13.99041656</v>
      </c>
      <c r="I61" s="8">
        <f t="shared" si="62"/>
        <v>16.4485708</v>
      </c>
      <c r="J61" s="8">
        <f t="shared" si="3"/>
        <v>15.19240737</v>
      </c>
      <c r="K61" s="9" t="str">
        <f t="shared" si="4"/>
        <v>Высокий</v>
      </c>
    </row>
    <row r="62">
      <c r="A62" s="4" t="s">
        <v>191</v>
      </c>
      <c r="B62" s="4" t="s">
        <v>192</v>
      </c>
      <c r="C62" s="4" t="s">
        <v>193</v>
      </c>
      <c r="D62" s="6">
        <v>5.0</v>
      </c>
      <c r="E62" s="6">
        <v>10.0</v>
      </c>
      <c r="F62" s="7">
        <f>SUMIF(population_edit!A$2:A$1276, A62, population_edit!C$2:C$1276)</f>
        <v>72665</v>
      </c>
      <c r="G62" s="7">
        <f>SUMIF(population_edit!A$2:A$1274, A62, population_edit!D$2:D$1276)</f>
        <v>68538</v>
      </c>
      <c r="H62" s="8">
        <f t="shared" ref="H62:I62" si="63">(D62/F62)*100000</f>
        <v>6.880891764</v>
      </c>
      <c r="I62" s="8">
        <f t="shared" si="63"/>
        <v>14.59044618</v>
      </c>
      <c r="J62" s="8">
        <f t="shared" si="3"/>
        <v>10.62300376</v>
      </c>
      <c r="K62" s="9" t="str">
        <f t="shared" si="4"/>
        <v>Средний</v>
      </c>
    </row>
    <row r="63">
      <c r="A63" s="4" t="s">
        <v>194</v>
      </c>
      <c r="B63" s="4" t="s">
        <v>195</v>
      </c>
      <c r="C63" s="4" t="s">
        <v>196</v>
      </c>
      <c r="D63" s="6">
        <v>76.0</v>
      </c>
      <c r="E63" s="6">
        <v>47.0</v>
      </c>
      <c r="F63" s="7">
        <f>SUMIF(population_edit!A$2:A$1276, A63, population_edit!C$2:C$1276)</f>
        <v>405354</v>
      </c>
      <c r="G63" s="7">
        <f>SUMIF(population_edit!A$2:A$1274, A63, population_edit!D$2:D$1276)</f>
        <v>384083</v>
      </c>
      <c r="H63" s="8">
        <f t="shared" ref="H63:I63" si="64">(D63/F63)*100000</f>
        <v>18.74904405</v>
      </c>
      <c r="I63" s="8">
        <f t="shared" si="64"/>
        <v>12.23693837</v>
      </c>
      <c r="J63" s="8">
        <f t="shared" si="3"/>
        <v>15.58072398</v>
      </c>
      <c r="K63" s="9" t="str">
        <f t="shared" si="4"/>
        <v>Высокий</v>
      </c>
    </row>
    <row r="64">
      <c r="A64" s="4" t="s">
        <v>197</v>
      </c>
      <c r="B64" s="4" t="s">
        <v>198</v>
      </c>
      <c r="C64" s="4" t="s">
        <v>199</v>
      </c>
      <c r="D64" s="6">
        <v>21.0</v>
      </c>
      <c r="E64" s="6">
        <v>16.0</v>
      </c>
      <c r="F64" s="7">
        <f>SUMIF(population_edit!A$2:A$1276, A64, population_edit!C$2:C$1276)</f>
        <v>168565</v>
      </c>
      <c r="G64" s="7">
        <f>SUMIF(population_edit!A$2:A$1274, A64, population_edit!D$2:D$1276)</f>
        <v>160840</v>
      </c>
      <c r="H64" s="8">
        <f t="shared" ref="H64:I64" si="65">(D64/F64)*100000</f>
        <v>12.45810222</v>
      </c>
      <c r="I64" s="8">
        <f t="shared" si="65"/>
        <v>9.947774186</v>
      </c>
      <c r="J64" s="8">
        <f t="shared" si="3"/>
        <v>11.23237352</v>
      </c>
      <c r="K64" s="9" t="str">
        <f t="shared" si="4"/>
        <v>Средний</v>
      </c>
    </row>
    <row r="65">
      <c r="A65" s="4" t="s">
        <v>200</v>
      </c>
      <c r="B65" s="4" t="s">
        <v>201</v>
      </c>
      <c r="C65" s="4" t="s">
        <v>202</v>
      </c>
      <c r="D65" s="6">
        <v>38.0</v>
      </c>
      <c r="E65" s="6">
        <v>31.0</v>
      </c>
      <c r="F65" s="7">
        <f>SUMIF(population_edit!A$2:A$1276, A65, population_edit!C$2:C$1276)</f>
        <v>321438</v>
      </c>
      <c r="G65" s="7">
        <f>SUMIF(population_edit!A$2:A$1274, A65, population_edit!D$2:D$1276)</f>
        <v>305342</v>
      </c>
      <c r="H65" s="8">
        <f t="shared" ref="H65:I65" si="66">(D65/F65)*100000</f>
        <v>11.82187545</v>
      </c>
      <c r="I65" s="8">
        <f t="shared" si="66"/>
        <v>10.15255026</v>
      </c>
      <c r="J65" s="8">
        <f t="shared" si="3"/>
        <v>11.00864737</v>
      </c>
      <c r="K65" s="9" t="str">
        <f t="shared" si="4"/>
        <v>Средний</v>
      </c>
    </row>
    <row r="66">
      <c r="A66" s="4" t="s">
        <v>203</v>
      </c>
      <c r="B66" s="4" t="s">
        <v>204</v>
      </c>
      <c r="C66" s="4" t="s">
        <v>205</v>
      </c>
      <c r="D66" s="6">
        <v>30.0</v>
      </c>
      <c r="E66" s="6">
        <v>21.0</v>
      </c>
      <c r="F66" s="7">
        <f>SUMIF(population_edit!A$2:A$1276, A66, population_edit!C$2:C$1276)</f>
        <v>200445</v>
      </c>
      <c r="G66" s="7">
        <f>SUMIF(population_edit!A$2:A$1274, A66, population_edit!D$2:D$1276)</f>
        <v>190651</v>
      </c>
      <c r="H66" s="8">
        <f t="shared" ref="H66:I66" si="67">(D66/F66)*100000</f>
        <v>14.96669909</v>
      </c>
      <c r="I66" s="8">
        <f t="shared" si="67"/>
        <v>11.01489108</v>
      </c>
      <c r="J66" s="8">
        <f t="shared" si="3"/>
        <v>13.04027656</v>
      </c>
      <c r="K66" s="9" t="str">
        <f t="shared" si="4"/>
        <v>Средний</v>
      </c>
    </row>
    <row r="67">
      <c r="A67" s="4" t="s">
        <v>206</v>
      </c>
      <c r="B67" s="4" t="s">
        <v>207</v>
      </c>
      <c r="C67" s="4" t="s">
        <v>208</v>
      </c>
      <c r="D67" s="6">
        <v>38.0</v>
      </c>
      <c r="E67" s="6">
        <v>38.0</v>
      </c>
      <c r="F67" s="7">
        <f>SUMIF(population_edit!A$2:A$1276, A67, population_edit!C$2:C$1276)</f>
        <v>275072</v>
      </c>
      <c r="G67" s="7">
        <f>SUMIF(population_edit!A$2:A$1274, A67, population_edit!D$2:D$1276)</f>
        <v>259983</v>
      </c>
      <c r="H67" s="8">
        <f t="shared" ref="H67:I67" si="68">(D67/F67)*100000</f>
        <v>13.81456491</v>
      </c>
      <c r="I67" s="8">
        <f t="shared" si="68"/>
        <v>14.6163403</v>
      </c>
      <c r="J67" s="8">
        <f t="shared" si="3"/>
        <v>14.20414724</v>
      </c>
      <c r="K67" s="9" t="str">
        <f t="shared" si="4"/>
        <v>Высокий</v>
      </c>
    </row>
    <row r="68">
      <c r="A68" s="4" t="s">
        <v>209</v>
      </c>
      <c r="B68" s="4" t="s">
        <v>210</v>
      </c>
      <c r="C68" s="4" t="s">
        <v>211</v>
      </c>
      <c r="D68" s="6">
        <v>42.0</v>
      </c>
      <c r="E68" s="6">
        <v>33.0</v>
      </c>
      <c r="F68" s="7">
        <f>SUMIF(population_edit!A$2:A$1276, A68, population_edit!C$2:C$1276)</f>
        <v>247759</v>
      </c>
      <c r="G68" s="7">
        <f>SUMIF(population_edit!A$2:A$1274, A68, population_edit!D$2:D$1276)</f>
        <v>234624</v>
      </c>
      <c r="H68" s="8">
        <f t="shared" ref="H68:I68" si="69">(D68/F68)*100000</f>
        <v>16.95195735</v>
      </c>
      <c r="I68" s="8">
        <f t="shared" si="69"/>
        <v>14.06505728</v>
      </c>
      <c r="J68" s="8">
        <f t="shared" si="3"/>
        <v>15.54781159</v>
      </c>
      <c r="K68" s="9" t="str">
        <f t="shared" si="4"/>
        <v>Высокий</v>
      </c>
    </row>
    <row r="69">
      <c r="A69" s="4" t="s">
        <v>212</v>
      </c>
      <c r="B69" s="4" t="s">
        <v>213</v>
      </c>
      <c r="C69" s="4" t="s">
        <v>214</v>
      </c>
      <c r="D69" s="6">
        <v>18.0</v>
      </c>
      <c r="E69" s="6">
        <v>21.0</v>
      </c>
      <c r="F69" s="7">
        <f>SUMIF(population_edit!A$2:A$1276, A69, population_edit!C$2:C$1276)</f>
        <v>232746</v>
      </c>
      <c r="G69" s="7">
        <f>SUMIF(population_edit!A$2:A$1274, A69, population_edit!D$2:D$1276)</f>
        <v>220980</v>
      </c>
      <c r="H69" s="8">
        <f t="shared" ref="H69:I69" si="70">(D69/F69)*100000</f>
        <v>7.733752675</v>
      </c>
      <c r="I69" s="8">
        <f t="shared" si="70"/>
        <v>9.503122455</v>
      </c>
      <c r="J69" s="8">
        <f t="shared" si="3"/>
        <v>8.59549596</v>
      </c>
      <c r="K69" s="9" t="str">
        <f t="shared" si="4"/>
        <v>Низкий</v>
      </c>
    </row>
    <row r="70">
      <c r="A70" s="4" t="s">
        <v>215</v>
      </c>
      <c r="B70" s="4" t="s">
        <v>216</v>
      </c>
      <c r="C70" s="4" t="s">
        <v>217</v>
      </c>
      <c r="D70" s="6">
        <v>28.0</v>
      </c>
      <c r="E70" s="6">
        <v>6.0</v>
      </c>
      <c r="F70" s="7">
        <f>SUMIF(population_edit!A$2:A$1276, A70, population_edit!C$2:C$1276)</f>
        <v>260495</v>
      </c>
      <c r="G70" s="7">
        <f>SUMIF(population_edit!A$2:A$1274, A70, population_edit!D$2:D$1276)</f>
        <v>247140</v>
      </c>
      <c r="H70" s="8">
        <f t="shared" ref="H70:I70" si="71">(D70/F70)*100000</f>
        <v>10.74876677</v>
      </c>
      <c r="I70" s="8">
        <f t="shared" si="71"/>
        <v>2.427773731</v>
      </c>
      <c r="J70" s="8">
        <f t="shared" si="3"/>
        <v>6.697725728</v>
      </c>
      <c r="K70" s="9" t="str">
        <f t="shared" si="4"/>
        <v>Низкий</v>
      </c>
    </row>
    <row r="71">
      <c r="A71" s="4" t="s">
        <v>218</v>
      </c>
      <c r="B71" s="4" t="s">
        <v>219</v>
      </c>
      <c r="C71" s="4" t="s">
        <v>220</v>
      </c>
      <c r="D71" s="6">
        <v>16.0</v>
      </c>
      <c r="E71" s="6">
        <v>17.0</v>
      </c>
      <c r="F71" s="7">
        <f>SUMIF(population_edit!A$2:A$1276, A71, population_edit!C$2:C$1276)</f>
        <v>174227</v>
      </c>
      <c r="G71" s="7">
        <f>SUMIF(population_edit!A$2:A$1274, A71, population_edit!D$2:D$1276)</f>
        <v>165123</v>
      </c>
      <c r="H71" s="8">
        <f t="shared" ref="H71:I71" si="72">(D71/F71)*100000</f>
        <v>9.183421628</v>
      </c>
      <c r="I71" s="8">
        <f t="shared" si="72"/>
        <v>10.29535558</v>
      </c>
      <c r="J71" s="8">
        <f t="shared" si="3"/>
        <v>9.724473258</v>
      </c>
      <c r="K71" s="9" t="str">
        <f t="shared" si="4"/>
        <v>Низкий</v>
      </c>
    </row>
    <row r="72">
      <c r="A72" s="4" t="s">
        <v>221</v>
      </c>
      <c r="B72" s="4" t="s">
        <v>222</v>
      </c>
      <c r="C72" s="4" t="s">
        <v>223</v>
      </c>
      <c r="D72" s="6">
        <v>8.0</v>
      </c>
      <c r="E72" s="6">
        <v>11.0</v>
      </c>
      <c r="F72" s="7">
        <f>SUMIF(population_edit!A$2:A$1276, A72, population_edit!C$2:C$1276)</f>
        <v>95155</v>
      </c>
      <c r="G72" s="7">
        <f>SUMIF(population_edit!A$2:A$1274, A72, population_edit!D$2:D$1276)</f>
        <v>90806</v>
      </c>
      <c r="H72" s="8">
        <f t="shared" ref="H72:I72" si="73">(D72/F72)*100000</f>
        <v>8.4073354</v>
      </c>
      <c r="I72" s="8">
        <f t="shared" si="73"/>
        <v>12.11373698</v>
      </c>
      <c r="J72" s="8">
        <f t="shared" si="3"/>
        <v>10.21719608</v>
      </c>
      <c r="K72" s="9" t="str">
        <f t="shared" si="4"/>
        <v>Средний</v>
      </c>
    </row>
    <row r="73">
      <c r="A73" s="4" t="s">
        <v>224</v>
      </c>
      <c r="B73" s="4" t="s">
        <v>225</v>
      </c>
      <c r="C73" s="4" t="s">
        <v>226</v>
      </c>
      <c r="D73" s="6">
        <v>4.0</v>
      </c>
      <c r="E73" s="6">
        <v>3.0</v>
      </c>
      <c r="F73" s="7">
        <f>SUMIF(population_edit!A$2:A$1276, A73, population_edit!C$2:C$1276)</f>
        <v>27375</v>
      </c>
      <c r="G73" s="7">
        <f>SUMIF(population_edit!A$2:A$1274, A73, population_edit!D$2:D$1276)</f>
        <v>26112</v>
      </c>
      <c r="H73" s="8">
        <f t="shared" ref="H73:I73" si="74">(D73/F73)*100000</f>
        <v>14.61187215</v>
      </c>
      <c r="I73" s="8">
        <f t="shared" si="74"/>
        <v>11.48897059</v>
      </c>
      <c r="J73" s="8">
        <f t="shared" si="3"/>
        <v>13.08729224</v>
      </c>
      <c r="K73" s="9" t="str">
        <f t="shared" si="4"/>
        <v>Средний</v>
      </c>
    </row>
    <row r="74">
      <c r="A74" s="4" t="s">
        <v>227</v>
      </c>
      <c r="B74" s="4" t="s">
        <v>228</v>
      </c>
      <c r="C74" s="4" t="s">
        <v>229</v>
      </c>
      <c r="D74" s="6">
        <v>6.0</v>
      </c>
      <c r="E74" s="6">
        <v>5.0</v>
      </c>
      <c r="F74" s="7">
        <f>SUMIF(population_edit!A$2:A$1276, A74, population_edit!C$2:C$1276)</f>
        <v>54068</v>
      </c>
      <c r="G74" s="7">
        <f>SUMIF(population_edit!A$2:A$1274, A74, population_edit!D$2:D$1276)</f>
        <v>52047</v>
      </c>
      <c r="H74" s="8">
        <f t="shared" ref="H74:I74" si="75">(D74/F74)*100000</f>
        <v>11.09713694</v>
      </c>
      <c r="I74" s="8">
        <f t="shared" si="75"/>
        <v>9.606701635</v>
      </c>
      <c r="J74" s="8">
        <f t="shared" si="3"/>
        <v>10.36611224</v>
      </c>
      <c r="K74" s="9" t="str">
        <f t="shared" si="4"/>
        <v>Средний</v>
      </c>
    </row>
    <row r="75">
      <c r="A75" s="4" t="s">
        <v>230</v>
      </c>
      <c r="B75" s="4" t="s">
        <v>231</v>
      </c>
      <c r="C75" s="4" t="s">
        <v>232</v>
      </c>
      <c r="D75" s="6">
        <v>6.0</v>
      </c>
      <c r="E75" s="6">
        <v>4.0</v>
      </c>
      <c r="F75" s="7">
        <f>SUMIF(population_edit!A$2:A$1276, A75, population_edit!C$2:C$1276)</f>
        <v>55728</v>
      </c>
      <c r="G75" s="7">
        <f>SUMIF(population_edit!A$2:A$1274, A75, population_edit!D$2:D$1276)</f>
        <v>52555</v>
      </c>
      <c r="H75" s="8">
        <f t="shared" ref="H75:I75" si="76">(D75/F75)*100000</f>
        <v>10.76658053</v>
      </c>
      <c r="I75" s="8">
        <f t="shared" si="76"/>
        <v>7.611074113</v>
      </c>
      <c r="J75" s="8">
        <f t="shared" si="3"/>
        <v>9.235059982</v>
      </c>
      <c r="K75" s="9" t="str">
        <f t="shared" si="4"/>
        <v>Низкий</v>
      </c>
    </row>
    <row r="76">
      <c r="A76" s="4" t="s">
        <v>233</v>
      </c>
      <c r="B76" s="4" t="s">
        <v>234</v>
      </c>
      <c r="C76" s="4" t="s">
        <v>235</v>
      </c>
      <c r="D76" s="6">
        <v>22.0</v>
      </c>
      <c r="E76" s="6">
        <v>15.0</v>
      </c>
      <c r="F76" s="7">
        <f>SUMIF(population_edit!A$2:A$1276, A76, population_edit!C$2:C$1276)</f>
        <v>152383</v>
      </c>
      <c r="G76" s="7">
        <f>SUMIF(population_edit!A$2:A$1274, A76, population_edit!D$2:D$1276)</f>
        <v>148107</v>
      </c>
      <c r="H76" s="8">
        <f t="shared" ref="H76:I76" si="77">(D76/F76)*100000</f>
        <v>14.437306</v>
      </c>
      <c r="I76" s="8">
        <f t="shared" si="77"/>
        <v>10.127813</v>
      </c>
      <c r="J76" s="8">
        <f t="shared" si="3"/>
        <v>12.31322174</v>
      </c>
      <c r="K76" s="9" t="str">
        <f t="shared" si="4"/>
        <v>Средний</v>
      </c>
    </row>
    <row r="77">
      <c r="A77" s="4" t="s">
        <v>236</v>
      </c>
      <c r="B77" s="4" t="s">
        <v>237</v>
      </c>
      <c r="C77" s="4" t="s">
        <v>238</v>
      </c>
      <c r="D77" s="6">
        <v>10.0</v>
      </c>
      <c r="E77" s="6">
        <v>12.0</v>
      </c>
      <c r="F77" s="7">
        <f>SUMIF(population_edit!A$2:A$1276, A77, population_edit!C$2:C$1276)</f>
        <v>117414</v>
      </c>
      <c r="G77" s="7">
        <f>SUMIF(population_edit!A$2:A$1274, A77, population_edit!D$2:D$1276)</f>
        <v>111524</v>
      </c>
      <c r="H77" s="8">
        <f t="shared" ref="H77:I77" si="78">(D77/F77)*100000</f>
        <v>8.516871923</v>
      </c>
      <c r="I77" s="8">
        <f t="shared" si="78"/>
        <v>10.76001578</v>
      </c>
      <c r="J77" s="8">
        <f t="shared" si="3"/>
        <v>9.609588622</v>
      </c>
      <c r="K77" s="9" t="str">
        <f t="shared" si="4"/>
        <v>Низкий</v>
      </c>
    </row>
    <row r="78">
      <c r="A78" s="4" t="s">
        <v>239</v>
      </c>
      <c r="B78" s="4" t="s">
        <v>240</v>
      </c>
      <c r="C78" s="4" t="s">
        <v>241</v>
      </c>
      <c r="D78" s="6">
        <v>5.0</v>
      </c>
      <c r="E78" s="6">
        <v>7.0</v>
      </c>
      <c r="F78" s="7">
        <f>SUMIF(population_edit!A$2:A$1276, A78, population_edit!C$2:C$1276)</f>
        <v>72856</v>
      </c>
      <c r="G78" s="7">
        <f>SUMIF(population_edit!A$2:A$1274, A78, population_edit!D$2:D$1276)</f>
        <v>69332</v>
      </c>
      <c r="H78" s="8">
        <f t="shared" ref="H78:I78" si="79">(D78/F78)*100000</f>
        <v>6.862852751</v>
      </c>
      <c r="I78" s="8">
        <f t="shared" si="79"/>
        <v>10.09634801</v>
      </c>
      <c r="J78" s="8">
        <f t="shared" si="3"/>
        <v>8.439530762</v>
      </c>
      <c r="K78" s="9" t="str">
        <f t="shared" si="4"/>
        <v>Низкий</v>
      </c>
    </row>
    <row r="79">
      <c r="A79" s="4" t="s">
        <v>242</v>
      </c>
      <c r="B79" s="4" t="s">
        <v>243</v>
      </c>
      <c r="C79" s="4" t="s">
        <v>244</v>
      </c>
      <c r="D79" s="6">
        <v>0.0</v>
      </c>
      <c r="E79" s="6">
        <v>3.0</v>
      </c>
      <c r="F79" s="7">
        <f>SUMIF(population_edit!A$2:A$1276, A79, population_edit!C$2:C$1276)</f>
        <v>27136</v>
      </c>
      <c r="G79" s="7">
        <f>SUMIF(population_edit!A$2:A$1274, A79, population_edit!D$2:D$1276)</f>
        <v>25885</v>
      </c>
      <c r="H79" s="8">
        <f t="shared" ref="H79:I79" si="80">(D79/F79)*100000</f>
        <v>0</v>
      </c>
      <c r="I79" s="8">
        <f t="shared" si="80"/>
        <v>11.58972378</v>
      </c>
      <c r="J79" s="8">
        <f t="shared" si="3"/>
        <v>5.658135456</v>
      </c>
      <c r="K79" s="9" t="str">
        <f t="shared" si="4"/>
        <v>Низкий</v>
      </c>
    </row>
    <row r="80">
      <c r="A80" s="4" t="s">
        <v>245</v>
      </c>
      <c r="B80" s="4" t="s">
        <v>246</v>
      </c>
      <c r="C80" s="4" t="s">
        <v>247</v>
      </c>
      <c r="D80" s="6">
        <v>0.0</v>
      </c>
      <c r="E80" s="6">
        <v>1.0</v>
      </c>
      <c r="F80" s="7">
        <f>SUMIF(population_edit!A$2:A$1276, A80, population_edit!C$2:C$1276)</f>
        <v>11905</v>
      </c>
      <c r="G80" s="7">
        <f>SUMIF(population_edit!A$2:A$1274, A80, population_edit!D$2:D$1276)</f>
        <v>11195</v>
      </c>
      <c r="H80" s="8">
        <f t="shared" ref="H80:I80" si="81">(D80/F80)*100000</f>
        <v>0</v>
      </c>
      <c r="I80" s="8">
        <f t="shared" si="81"/>
        <v>8.932559178</v>
      </c>
      <c r="J80" s="8">
        <f t="shared" si="3"/>
        <v>4.329004329</v>
      </c>
      <c r="K80" s="9" t="str">
        <f t="shared" si="4"/>
        <v>Низкий</v>
      </c>
    </row>
    <row r="81">
      <c r="A81" s="4" t="s">
        <v>248</v>
      </c>
      <c r="B81" s="4" t="s">
        <v>249</v>
      </c>
      <c r="C81" s="4" t="s">
        <v>250</v>
      </c>
      <c r="D81" s="6">
        <v>7.0</v>
      </c>
      <c r="E81" s="6">
        <v>4.0</v>
      </c>
      <c r="F81" s="7">
        <f>SUMIF(population_edit!A$2:A$1276, A81, population_edit!C$2:C$1276)</f>
        <v>39286</v>
      </c>
      <c r="G81" s="7">
        <f>SUMIF(population_edit!A$2:A$1274, A81, population_edit!D$2:D$1276)</f>
        <v>38478</v>
      </c>
      <c r="H81" s="8">
        <f t="shared" ref="H81:I81" si="82">(D81/F81)*100000</f>
        <v>17.81805223</v>
      </c>
      <c r="I81" s="8">
        <f t="shared" si="82"/>
        <v>10.3955507</v>
      </c>
      <c r="J81" s="8">
        <f t="shared" si="3"/>
        <v>14.14536289</v>
      </c>
      <c r="K81" s="9" t="str">
        <f t="shared" si="4"/>
        <v>Высокий</v>
      </c>
    </row>
    <row r="82">
      <c r="A82" s="4" t="s">
        <v>251</v>
      </c>
      <c r="B82" s="4" t="s">
        <v>252</v>
      </c>
      <c r="C82" s="4" t="s">
        <v>253</v>
      </c>
      <c r="D82" s="6">
        <v>18.0</v>
      </c>
      <c r="E82" s="6">
        <v>12.0</v>
      </c>
      <c r="F82" s="7">
        <f>SUMIF(population_edit!A$2:A$1276, A82, population_edit!C$2:C$1276)</f>
        <v>104230</v>
      </c>
      <c r="G82" s="7">
        <f>SUMIF(population_edit!A$2:A$1274, A82, population_edit!D$2:D$1276)</f>
        <v>99668</v>
      </c>
      <c r="H82" s="8">
        <f t="shared" ref="H82:I82" si="83">(D82/F82)*100000</f>
        <v>17.26950014</v>
      </c>
      <c r="I82" s="8">
        <f t="shared" si="83"/>
        <v>12.03997271</v>
      </c>
      <c r="J82" s="8">
        <f t="shared" si="3"/>
        <v>14.71323897</v>
      </c>
      <c r="K82" s="9" t="str">
        <f t="shared" si="4"/>
        <v>Высокий</v>
      </c>
    </row>
    <row r="83">
      <c r="A83" s="4" t="s">
        <v>254</v>
      </c>
      <c r="B83" s="4" t="s">
        <v>255</v>
      </c>
      <c r="C83" s="4" t="s">
        <v>256</v>
      </c>
      <c r="D83" s="6">
        <v>0.0</v>
      </c>
      <c r="E83" s="6">
        <v>0.0</v>
      </c>
      <c r="F83" s="7">
        <f>SUMIF(population_edit!A$2:A$1276, A83, population_edit!C$2:C$1276)</f>
        <v>5011</v>
      </c>
      <c r="G83" s="7">
        <f>SUMIF(population_edit!A$2:A$1274, A83, population_edit!D$2:D$1276)</f>
        <v>4195</v>
      </c>
      <c r="H83" s="8">
        <f t="shared" ref="H83:I83" si="84">(D83/F83)*100000</f>
        <v>0</v>
      </c>
      <c r="I83" s="8">
        <f t="shared" si="84"/>
        <v>0</v>
      </c>
      <c r="J83" s="8">
        <f t="shared" si="3"/>
        <v>0</v>
      </c>
      <c r="K83" s="9" t="str">
        <f t="shared" si="4"/>
        <v>Низкий</v>
      </c>
    </row>
    <row r="84">
      <c r="A84" s="4" t="s">
        <v>257</v>
      </c>
      <c r="B84" s="4" t="s">
        <v>258</v>
      </c>
      <c r="C84" s="4" t="s">
        <v>259</v>
      </c>
      <c r="D84" s="6">
        <v>15.0</v>
      </c>
      <c r="E84" s="6">
        <v>13.0</v>
      </c>
      <c r="F84" s="7">
        <f>SUMIF(population_edit!A$2:A$1276, A84, population_edit!C$2:C$1276)</f>
        <v>111710</v>
      </c>
      <c r="G84" s="7">
        <f>SUMIF(population_edit!A$2:A$1274, A84, population_edit!D$2:D$1276)</f>
        <v>106124</v>
      </c>
      <c r="H84" s="8">
        <f t="shared" ref="H84:I84" si="85">(D84/F84)*100000</f>
        <v>13.4276251</v>
      </c>
      <c r="I84" s="8">
        <f t="shared" si="85"/>
        <v>12.24982096</v>
      </c>
      <c r="J84" s="8">
        <f t="shared" si="3"/>
        <v>12.85382447</v>
      </c>
      <c r="K84" s="9" t="str">
        <f t="shared" si="4"/>
        <v>Средний</v>
      </c>
    </row>
    <row r="85">
      <c r="A85" s="4" t="s">
        <v>260</v>
      </c>
      <c r="B85" s="4" t="s">
        <v>261</v>
      </c>
      <c r="C85" s="4" t="s">
        <v>262</v>
      </c>
      <c r="D85" s="6">
        <v>12.0</v>
      </c>
      <c r="E85" s="6">
        <v>8.0</v>
      </c>
      <c r="F85" s="7">
        <f>SUMIF(population_edit!A$2:A$1276, A85, population_edit!C$2:C$1276)</f>
        <v>114121</v>
      </c>
      <c r="G85" s="7">
        <f>SUMIF(population_edit!A$2:A$1274, A85, population_edit!D$2:D$1276)</f>
        <v>109749</v>
      </c>
      <c r="H85" s="8">
        <f t="shared" ref="H85:I85" si="86">(D85/F85)*100000</f>
        <v>10.51515497</v>
      </c>
      <c r="I85" s="8">
        <f t="shared" si="86"/>
        <v>7.289360268</v>
      </c>
      <c r="J85" s="8">
        <f t="shared" si="3"/>
        <v>8.933756198</v>
      </c>
      <c r="K85" s="9" t="str">
        <f t="shared" si="4"/>
        <v>Низкий</v>
      </c>
    </row>
    <row r="86">
      <c r="A86" s="4" t="s">
        <v>263</v>
      </c>
      <c r="B86" s="4" t="s">
        <v>255</v>
      </c>
      <c r="C86" s="4" t="s">
        <v>256</v>
      </c>
      <c r="D86" s="6">
        <v>3.0</v>
      </c>
      <c r="E86" s="6">
        <v>0.0</v>
      </c>
      <c r="F86" s="7">
        <f>SUMIF(population_edit!A$2:A$1276, A86, population_edit!C$2:C$1276)</f>
        <v>14297</v>
      </c>
      <c r="G86" s="7">
        <f>SUMIF(population_edit!A$2:A$1274, A86, population_edit!D$2:D$1276)</f>
        <v>13553</v>
      </c>
      <c r="H86" s="8">
        <f t="shared" ref="H86:I86" si="87">(D86/F86)*100000</f>
        <v>20.9834231</v>
      </c>
      <c r="I86" s="8">
        <f t="shared" si="87"/>
        <v>0</v>
      </c>
      <c r="J86" s="8">
        <f t="shared" si="3"/>
        <v>10.77199282</v>
      </c>
      <c r="K86" s="9" t="str">
        <f t="shared" si="4"/>
        <v>Средний</v>
      </c>
    </row>
    <row r="87">
      <c r="A87" s="9"/>
      <c r="B87" s="9"/>
      <c r="C87" s="9"/>
      <c r="D87" s="9"/>
      <c r="E87" s="9"/>
      <c r="F87" s="10"/>
      <c r="G87" s="10"/>
      <c r="H87" s="9"/>
      <c r="I87" s="9"/>
      <c r="J87" s="8"/>
      <c r="K87" s="9"/>
    </row>
    <row r="88">
      <c r="A88" s="9"/>
      <c r="B88" s="9"/>
      <c r="C88" s="9"/>
      <c r="D88" s="9"/>
      <c r="E88" s="9"/>
      <c r="F88" s="10"/>
      <c r="G88" s="10"/>
      <c r="H88" s="9"/>
      <c r="I88" s="9"/>
      <c r="J88" s="8"/>
      <c r="K88" s="9"/>
    </row>
    <row r="89">
      <c r="A89" s="9"/>
      <c r="B89" s="9"/>
      <c r="C89" s="9"/>
      <c r="D89" s="9"/>
      <c r="E89" s="9"/>
      <c r="F89" s="10"/>
      <c r="G89" s="10"/>
      <c r="H89" s="9"/>
      <c r="I89" s="9"/>
      <c r="J89" s="8"/>
      <c r="K89" s="9"/>
    </row>
    <row r="90">
      <c r="A90" s="9"/>
      <c r="B90" s="9"/>
      <c r="C90" s="9"/>
      <c r="D90" s="9"/>
      <c r="E90" s="9"/>
      <c r="F90" s="10"/>
      <c r="G90" s="10"/>
      <c r="H90" s="9"/>
      <c r="I90" s="9"/>
      <c r="J90" s="8"/>
      <c r="K90" s="9"/>
    </row>
    <row r="91">
      <c r="A91" s="9"/>
      <c r="B91" s="9"/>
      <c r="C91" s="9"/>
      <c r="D91" s="9"/>
      <c r="E91" s="9"/>
      <c r="F91" s="10"/>
      <c r="G91" s="10"/>
      <c r="H91" s="9"/>
      <c r="I91" s="9"/>
      <c r="J91" s="8"/>
      <c r="K91" s="9"/>
    </row>
    <row r="92">
      <c r="A92" s="9"/>
      <c r="B92" s="9"/>
      <c r="C92" s="9"/>
      <c r="D92" s="9"/>
      <c r="E92" s="9"/>
      <c r="F92" s="10"/>
      <c r="G92" s="10"/>
      <c r="H92" s="9"/>
      <c r="I92" s="9"/>
      <c r="J92" s="8"/>
      <c r="K92" s="9"/>
    </row>
    <row r="93">
      <c r="A93" s="9"/>
      <c r="B93" s="9"/>
      <c r="C93" s="9"/>
      <c r="D93" s="9"/>
      <c r="E93" s="9"/>
      <c r="F93" s="10"/>
      <c r="G93" s="10"/>
      <c r="H93" s="9"/>
      <c r="I93" s="9"/>
      <c r="J93" s="8"/>
      <c r="K93" s="9"/>
    </row>
    <row r="94">
      <c r="A94" s="9"/>
      <c r="B94" s="9"/>
      <c r="C94" s="9"/>
      <c r="D94" s="9"/>
      <c r="E94" s="9"/>
      <c r="F94" s="10"/>
      <c r="G94" s="10"/>
      <c r="H94" s="9"/>
      <c r="I94" s="9"/>
      <c r="J94" s="8"/>
      <c r="K94" s="9"/>
    </row>
    <row r="95">
      <c r="A95" s="9"/>
      <c r="B95" s="9"/>
      <c r="C95" s="9"/>
      <c r="D95" s="9"/>
      <c r="E95" s="9"/>
      <c r="F95" s="10"/>
      <c r="G95" s="10"/>
      <c r="H95" s="9"/>
      <c r="I95" s="9"/>
      <c r="J95" s="8"/>
      <c r="K95" s="9"/>
    </row>
    <row r="96">
      <c r="A96" s="9"/>
      <c r="B96" s="9"/>
      <c r="C96" s="9"/>
      <c r="D96" s="9"/>
      <c r="E96" s="9"/>
      <c r="F96" s="10"/>
      <c r="G96" s="10"/>
      <c r="H96" s="9"/>
      <c r="I96" s="9"/>
      <c r="J96" s="8"/>
      <c r="K96" s="9"/>
    </row>
    <row r="97">
      <c r="A97" s="9"/>
      <c r="B97" s="9"/>
      <c r="C97" s="9"/>
      <c r="D97" s="9"/>
      <c r="E97" s="9"/>
      <c r="F97" s="10"/>
      <c r="G97" s="10"/>
      <c r="H97" s="9"/>
      <c r="I97" s="9"/>
      <c r="J97" s="8"/>
      <c r="K97" s="9"/>
    </row>
    <row r="98">
      <c r="A98" s="9"/>
      <c r="B98" s="9"/>
      <c r="C98" s="9"/>
      <c r="D98" s="9"/>
      <c r="E98" s="9"/>
      <c r="F98" s="10"/>
      <c r="G98" s="10"/>
      <c r="H98" s="9"/>
      <c r="I98" s="9"/>
      <c r="J98" s="8"/>
      <c r="K98" s="9"/>
    </row>
    <row r="99">
      <c r="A99" s="9"/>
      <c r="B99" s="9"/>
      <c r="C99" s="9"/>
      <c r="D99" s="9"/>
      <c r="E99" s="9"/>
      <c r="F99" s="10"/>
      <c r="G99" s="10"/>
      <c r="H99" s="9"/>
      <c r="I99" s="9"/>
      <c r="J99" s="8"/>
      <c r="K99" s="9"/>
    </row>
    <row r="100">
      <c r="A100" s="9"/>
      <c r="B100" s="9"/>
      <c r="C100" s="9"/>
      <c r="D100" s="9"/>
      <c r="E100" s="9"/>
      <c r="F100" s="10"/>
      <c r="G100" s="10"/>
      <c r="H100" s="9"/>
      <c r="I100" s="9"/>
      <c r="J100" s="8"/>
      <c r="K100" s="9"/>
    </row>
    <row r="101">
      <c r="A101" s="9"/>
      <c r="B101" s="9"/>
      <c r="C101" s="9"/>
      <c r="D101" s="9"/>
      <c r="E101" s="9"/>
      <c r="F101" s="10"/>
      <c r="G101" s="10"/>
      <c r="H101" s="9"/>
      <c r="I101" s="9"/>
      <c r="J101" s="8"/>
      <c r="K101" s="9"/>
    </row>
    <row r="102">
      <c r="A102" s="9"/>
      <c r="B102" s="9"/>
      <c r="C102" s="9"/>
      <c r="D102" s="9"/>
      <c r="E102" s="9"/>
      <c r="F102" s="10"/>
      <c r="G102" s="10"/>
      <c r="H102" s="9"/>
      <c r="I102" s="9"/>
      <c r="J102" s="8"/>
      <c r="K102" s="9"/>
    </row>
    <row r="103">
      <c r="A103" s="9"/>
      <c r="B103" s="9"/>
      <c r="C103" s="9"/>
      <c r="D103" s="9"/>
      <c r="E103" s="9"/>
      <c r="F103" s="10"/>
      <c r="G103" s="10"/>
      <c r="H103" s="9"/>
      <c r="I103" s="9"/>
      <c r="J103" s="8"/>
      <c r="K103" s="9"/>
    </row>
    <row r="104">
      <c r="A104" s="9"/>
      <c r="B104" s="9"/>
      <c r="C104" s="9"/>
      <c r="D104" s="9"/>
      <c r="E104" s="9"/>
      <c r="F104" s="10"/>
      <c r="G104" s="10"/>
      <c r="H104" s="9"/>
      <c r="I104" s="9"/>
      <c r="J104" s="8"/>
      <c r="K104" s="9"/>
    </row>
    <row r="105">
      <c r="A105" s="9"/>
      <c r="B105" s="9"/>
      <c r="C105" s="9"/>
      <c r="D105" s="9"/>
      <c r="E105" s="9"/>
      <c r="F105" s="10"/>
      <c r="G105" s="10"/>
      <c r="H105" s="9"/>
      <c r="I105" s="9"/>
      <c r="J105" s="8"/>
      <c r="K105" s="9"/>
    </row>
    <row r="106">
      <c r="A106" s="9"/>
      <c r="B106" s="9"/>
      <c r="C106" s="9"/>
      <c r="D106" s="9"/>
      <c r="E106" s="9"/>
      <c r="F106" s="10"/>
      <c r="G106" s="10"/>
      <c r="H106" s="9"/>
      <c r="I106" s="9"/>
      <c r="J106" s="8"/>
      <c r="K106" s="9"/>
    </row>
    <row r="107">
      <c r="A107" s="9"/>
      <c r="B107" s="9"/>
      <c r="C107" s="9"/>
      <c r="D107" s="9"/>
      <c r="E107" s="9"/>
      <c r="F107" s="10"/>
      <c r="G107" s="10"/>
      <c r="H107" s="9"/>
      <c r="I107" s="9"/>
      <c r="J107" s="8"/>
      <c r="K107" s="9"/>
    </row>
    <row r="108">
      <c r="A108" s="9"/>
      <c r="B108" s="9"/>
      <c r="C108" s="9"/>
      <c r="D108" s="9"/>
      <c r="E108" s="9"/>
      <c r="F108" s="10"/>
      <c r="G108" s="10"/>
      <c r="H108" s="9"/>
      <c r="I108" s="9"/>
      <c r="J108" s="8"/>
      <c r="K108" s="9"/>
    </row>
    <row r="109">
      <c r="A109" s="9"/>
      <c r="B109" s="9"/>
      <c r="C109" s="9"/>
      <c r="D109" s="9"/>
      <c r="E109" s="9"/>
      <c r="F109" s="10"/>
      <c r="G109" s="10"/>
      <c r="H109" s="9"/>
      <c r="I109" s="9"/>
      <c r="J109" s="8"/>
      <c r="K109" s="9"/>
    </row>
    <row r="110">
      <c r="A110" s="9"/>
      <c r="B110" s="9"/>
      <c r="C110" s="9"/>
      <c r="D110" s="9"/>
      <c r="E110" s="9"/>
      <c r="F110" s="10"/>
      <c r="G110" s="10"/>
      <c r="H110" s="9"/>
      <c r="I110" s="9"/>
      <c r="J110" s="8"/>
      <c r="K110" s="9"/>
    </row>
    <row r="111">
      <c r="A111" s="9"/>
      <c r="B111" s="9"/>
      <c r="C111" s="9"/>
      <c r="D111" s="9"/>
      <c r="E111" s="9"/>
      <c r="F111" s="10"/>
      <c r="G111" s="10"/>
      <c r="H111" s="9"/>
      <c r="I111" s="9"/>
      <c r="J111" s="8"/>
      <c r="K111" s="9"/>
    </row>
    <row r="112">
      <c r="A112" s="9"/>
      <c r="B112" s="9"/>
      <c r="C112" s="9"/>
      <c r="D112" s="9"/>
      <c r="E112" s="9"/>
      <c r="F112" s="10"/>
      <c r="G112" s="10"/>
      <c r="H112" s="9"/>
      <c r="I112" s="9"/>
      <c r="J112" s="8"/>
      <c r="K112" s="9"/>
    </row>
    <row r="113">
      <c r="A113" s="9"/>
      <c r="B113" s="9"/>
      <c r="C113" s="9"/>
      <c r="D113" s="9"/>
      <c r="E113" s="9"/>
      <c r="F113" s="10"/>
      <c r="G113" s="10"/>
      <c r="H113" s="9"/>
      <c r="I113" s="9"/>
      <c r="J113" s="8"/>
      <c r="K113" s="9"/>
    </row>
    <row r="114">
      <c r="A114" s="9"/>
      <c r="B114" s="9"/>
      <c r="C114" s="9"/>
      <c r="D114" s="9"/>
      <c r="E114" s="9"/>
      <c r="F114" s="10"/>
      <c r="G114" s="10"/>
      <c r="H114" s="9"/>
      <c r="I114" s="9"/>
      <c r="J114" s="8"/>
      <c r="K114" s="9"/>
    </row>
    <row r="115">
      <c r="A115" s="9"/>
      <c r="B115" s="9"/>
      <c r="C115" s="9"/>
      <c r="D115" s="9"/>
      <c r="E115" s="9"/>
      <c r="F115" s="10"/>
      <c r="G115" s="10"/>
      <c r="H115" s="9"/>
      <c r="I115" s="9"/>
      <c r="J115" s="8"/>
      <c r="K115" s="9"/>
    </row>
    <row r="116">
      <c r="A116" s="9"/>
      <c r="B116" s="9"/>
      <c r="C116" s="9"/>
      <c r="D116" s="9"/>
      <c r="E116" s="9"/>
      <c r="F116" s="10"/>
      <c r="G116" s="10"/>
      <c r="H116" s="9"/>
      <c r="I116" s="9"/>
      <c r="J116" s="8"/>
      <c r="K116" s="9"/>
    </row>
    <row r="117">
      <c r="A117" s="9"/>
      <c r="B117" s="9"/>
      <c r="C117" s="9"/>
      <c r="D117" s="9"/>
      <c r="E117" s="9"/>
      <c r="F117" s="10"/>
      <c r="G117" s="10"/>
      <c r="H117" s="9"/>
      <c r="I117" s="9"/>
      <c r="J117" s="8"/>
      <c r="K117" s="9"/>
    </row>
    <row r="118">
      <c r="A118" s="9"/>
      <c r="B118" s="9"/>
      <c r="C118" s="9"/>
      <c r="D118" s="9"/>
      <c r="E118" s="9"/>
      <c r="F118" s="10"/>
      <c r="G118" s="10"/>
      <c r="H118" s="9"/>
      <c r="I118" s="9"/>
      <c r="J118" s="8"/>
      <c r="K118" s="9"/>
    </row>
    <row r="119">
      <c r="A119" s="9"/>
      <c r="B119" s="9"/>
      <c r="C119" s="9"/>
      <c r="D119" s="9"/>
      <c r="E119" s="9"/>
      <c r="F119" s="10"/>
      <c r="G119" s="10"/>
      <c r="H119" s="9"/>
      <c r="I119" s="9"/>
      <c r="J119" s="8"/>
      <c r="K119" s="9"/>
    </row>
    <row r="120">
      <c r="A120" s="9"/>
      <c r="B120" s="9"/>
      <c r="C120" s="9"/>
      <c r="D120" s="9"/>
      <c r="E120" s="9"/>
      <c r="F120" s="10"/>
      <c r="G120" s="10"/>
      <c r="H120" s="9"/>
      <c r="I120" s="9"/>
      <c r="J120" s="8"/>
      <c r="K120" s="9"/>
    </row>
    <row r="121">
      <c r="A121" s="9"/>
      <c r="B121" s="9"/>
      <c r="C121" s="9"/>
      <c r="D121" s="9"/>
      <c r="E121" s="9"/>
      <c r="F121" s="10"/>
      <c r="G121" s="10"/>
      <c r="H121" s="9"/>
      <c r="I121" s="9"/>
      <c r="J121" s="8"/>
      <c r="K121" s="9"/>
    </row>
    <row r="122">
      <c r="A122" s="9"/>
      <c r="B122" s="9"/>
      <c r="C122" s="9"/>
      <c r="D122" s="9"/>
      <c r="E122" s="9"/>
      <c r="F122" s="10"/>
      <c r="G122" s="10"/>
      <c r="H122" s="9"/>
      <c r="I122" s="9"/>
      <c r="J122" s="8"/>
      <c r="K122" s="9"/>
    </row>
    <row r="123">
      <c r="A123" s="9"/>
      <c r="B123" s="9"/>
      <c r="C123" s="9"/>
      <c r="D123" s="9"/>
      <c r="E123" s="9"/>
      <c r="F123" s="10"/>
      <c r="G123" s="10"/>
      <c r="H123" s="9"/>
      <c r="I123" s="9"/>
      <c r="J123" s="8"/>
      <c r="K123" s="9"/>
    </row>
    <row r="124">
      <c r="A124" s="9"/>
      <c r="B124" s="9"/>
      <c r="C124" s="9"/>
      <c r="D124" s="9"/>
      <c r="E124" s="9"/>
      <c r="F124" s="10"/>
      <c r="G124" s="10"/>
      <c r="H124" s="9"/>
      <c r="I124" s="9"/>
      <c r="J124" s="8"/>
      <c r="K124" s="9"/>
    </row>
    <row r="125">
      <c r="A125" s="9"/>
      <c r="B125" s="9"/>
      <c r="C125" s="9"/>
      <c r="D125" s="9"/>
      <c r="E125" s="9"/>
      <c r="F125" s="10"/>
      <c r="G125" s="10"/>
      <c r="H125" s="9"/>
      <c r="I125" s="9"/>
      <c r="J125" s="8"/>
      <c r="K125" s="9"/>
    </row>
    <row r="126">
      <c r="A126" s="9"/>
      <c r="B126" s="9"/>
      <c r="C126" s="9"/>
      <c r="D126" s="9"/>
      <c r="E126" s="9"/>
      <c r="F126" s="10"/>
      <c r="G126" s="10"/>
      <c r="H126" s="9"/>
      <c r="I126" s="9"/>
      <c r="J126" s="8"/>
      <c r="K126" s="9"/>
    </row>
    <row r="127">
      <c r="A127" s="9"/>
      <c r="B127" s="9"/>
      <c r="C127" s="9"/>
      <c r="D127" s="9"/>
      <c r="E127" s="9"/>
      <c r="F127" s="10"/>
      <c r="G127" s="10"/>
      <c r="H127" s="9"/>
      <c r="I127" s="9"/>
      <c r="J127" s="8"/>
      <c r="K127" s="9"/>
    </row>
    <row r="128">
      <c r="A128" s="9"/>
      <c r="B128" s="9"/>
      <c r="C128" s="9"/>
      <c r="D128" s="9"/>
      <c r="E128" s="9"/>
      <c r="F128" s="10"/>
      <c r="G128" s="10"/>
      <c r="H128" s="9"/>
      <c r="I128" s="9"/>
      <c r="J128" s="8"/>
      <c r="K128" s="9"/>
    </row>
    <row r="129">
      <c r="A129" s="9"/>
      <c r="B129" s="9"/>
      <c r="C129" s="9"/>
      <c r="D129" s="9"/>
      <c r="E129" s="9"/>
      <c r="F129" s="10"/>
      <c r="G129" s="10"/>
      <c r="H129" s="9"/>
      <c r="I129" s="9"/>
      <c r="J129" s="8"/>
      <c r="K129" s="9"/>
    </row>
    <row r="130">
      <c r="A130" s="9"/>
      <c r="B130" s="9"/>
      <c r="C130" s="9"/>
      <c r="D130" s="9"/>
      <c r="E130" s="9"/>
      <c r="F130" s="10"/>
      <c r="G130" s="10"/>
      <c r="H130" s="9"/>
      <c r="I130" s="9"/>
      <c r="J130" s="8"/>
      <c r="K130" s="9"/>
    </row>
    <row r="131">
      <c r="A131" s="9"/>
      <c r="B131" s="9"/>
      <c r="C131" s="9"/>
      <c r="D131" s="9"/>
      <c r="E131" s="9"/>
      <c r="F131" s="10"/>
      <c r="G131" s="10"/>
      <c r="H131" s="9"/>
      <c r="I131" s="9"/>
      <c r="J131" s="8"/>
      <c r="K131" s="9"/>
    </row>
    <row r="132">
      <c r="A132" s="9"/>
      <c r="B132" s="9"/>
      <c r="C132" s="9"/>
      <c r="D132" s="9"/>
      <c r="E132" s="9"/>
      <c r="F132" s="10"/>
      <c r="G132" s="10"/>
      <c r="H132" s="9"/>
      <c r="I132" s="9"/>
      <c r="J132" s="8"/>
      <c r="K132" s="9"/>
    </row>
    <row r="133">
      <c r="A133" s="9"/>
      <c r="B133" s="9"/>
      <c r="C133" s="9"/>
      <c r="D133" s="9"/>
      <c r="E133" s="9"/>
      <c r="F133" s="10"/>
      <c r="G133" s="10"/>
      <c r="H133" s="9"/>
      <c r="I133" s="9"/>
      <c r="J133" s="8"/>
      <c r="K133" s="9"/>
    </row>
    <row r="134">
      <c r="A134" s="9"/>
      <c r="B134" s="9"/>
      <c r="C134" s="9"/>
      <c r="D134" s="9"/>
      <c r="E134" s="9"/>
      <c r="F134" s="10"/>
      <c r="G134" s="10"/>
      <c r="H134" s="9"/>
      <c r="I134" s="9"/>
      <c r="J134" s="8"/>
      <c r="K134" s="9"/>
    </row>
    <row r="135">
      <c r="A135" s="9"/>
      <c r="B135" s="9"/>
      <c r="C135" s="9"/>
      <c r="D135" s="9"/>
      <c r="E135" s="9"/>
      <c r="F135" s="10"/>
      <c r="G135" s="10"/>
      <c r="H135" s="9"/>
      <c r="I135" s="9"/>
      <c r="J135" s="8"/>
      <c r="K135" s="9"/>
    </row>
    <row r="136">
      <c r="A136" s="9"/>
      <c r="B136" s="9"/>
      <c r="C136" s="9"/>
      <c r="D136" s="9"/>
      <c r="E136" s="9"/>
      <c r="F136" s="10"/>
      <c r="G136" s="10"/>
      <c r="H136" s="9"/>
      <c r="I136" s="9"/>
      <c r="J136" s="8"/>
      <c r="K136" s="9"/>
    </row>
    <row r="137">
      <c r="A137" s="9"/>
      <c r="B137" s="9"/>
      <c r="C137" s="9"/>
      <c r="D137" s="9"/>
      <c r="E137" s="9"/>
      <c r="F137" s="10"/>
      <c r="G137" s="10"/>
      <c r="H137" s="9"/>
      <c r="I137" s="9"/>
      <c r="J137" s="8"/>
      <c r="K137" s="9"/>
    </row>
    <row r="138">
      <c r="A138" s="9"/>
      <c r="B138" s="9"/>
      <c r="C138" s="9"/>
      <c r="D138" s="9"/>
      <c r="E138" s="9"/>
      <c r="F138" s="10"/>
      <c r="G138" s="10"/>
      <c r="H138" s="9"/>
      <c r="I138" s="9"/>
      <c r="J138" s="8"/>
      <c r="K138" s="9"/>
    </row>
    <row r="139">
      <c r="A139" s="9"/>
      <c r="B139" s="9"/>
      <c r="C139" s="9"/>
      <c r="D139" s="9"/>
      <c r="E139" s="9"/>
      <c r="F139" s="10"/>
      <c r="G139" s="10"/>
      <c r="H139" s="9"/>
      <c r="I139" s="9"/>
      <c r="J139" s="8"/>
      <c r="K139" s="9"/>
    </row>
    <row r="140">
      <c r="A140" s="9"/>
      <c r="B140" s="9"/>
      <c r="C140" s="9"/>
      <c r="D140" s="9"/>
      <c r="E140" s="9"/>
      <c r="F140" s="10"/>
      <c r="G140" s="10"/>
      <c r="H140" s="9"/>
      <c r="I140" s="9"/>
      <c r="J140" s="8"/>
      <c r="K140" s="9"/>
    </row>
    <row r="141">
      <c r="A141" s="9"/>
      <c r="B141" s="9"/>
      <c r="C141" s="9"/>
      <c r="D141" s="9"/>
      <c r="E141" s="9"/>
      <c r="F141" s="10"/>
      <c r="G141" s="10"/>
      <c r="H141" s="9"/>
      <c r="I141" s="9"/>
      <c r="J141" s="8"/>
      <c r="K141" s="9"/>
    </row>
    <row r="142">
      <c r="A142" s="9"/>
      <c r="B142" s="9"/>
      <c r="C142" s="9"/>
      <c r="D142" s="9"/>
      <c r="E142" s="9"/>
      <c r="F142" s="10"/>
      <c r="G142" s="10"/>
      <c r="H142" s="9"/>
      <c r="I142" s="9"/>
      <c r="J142" s="8"/>
      <c r="K142" s="9"/>
    </row>
    <row r="143">
      <c r="A143" s="9"/>
      <c r="B143" s="9"/>
      <c r="C143" s="9"/>
      <c r="D143" s="9"/>
      <c r="E143" s="9"/>
      <c r="F143" s="10"/>
      <c r="G143" s="10"/>
      <c r="H143" s="9"/>
      <c r="I143" s="9"/>
      <c r="J143" s="8"/>
      <c r="K143" s="9"/>
    </row>
    <row r="144">
      <c r="A144" s="9"/>
      <c r="B144" s="9"/>
      <c r="C144" s="9"/>
      <c r="D144" s="9"/>
      <c r="E144" s="9"/>
      <c r="F144" s="10"/>
      <c r="G144" s="10"/>
      <c r="H144" s="9"/>
      <c r="I144" s="9"/>
      <c r="J144" s="8"/>
      <c r="K144" s="9"/>
    </row>
    <row r="145">
      <c r="A145" s="9"/>
      <c r="B145" s="9"/>
      <c r="C145" s="9"/>
      <c r="D145" s="9"/>
      <c r="E145" s="9"/>
      <c r="F145" s="10"/>
      <c r="G145" s="10"/>
      <c r="H145" s="9"/>
      <c r="I145" s="9"/>
      <c r="J145" s="8"/>
      <c r="K145" s="9"/>
    </row>
    <row r="146">
      <c r="A146" s="9"/>
      <c r="B146" s="9"/>
      <c r="C146" s="9"/>
      <c r="D146" s="9"/>
      <c r="E146" s="9"/>
      <c r="F146" s="10"/>
      <c r="G146" s="10"/>
      <c r="H146" s="9"/>
      <c r="I146" s="9"/>
      <c r="J146" s="8"/>
      <c r="K146" s="9"/>
    </row>
    <row r="147">
      <c r="A147" s="9"/>
      <c r="B147" s="9"/>
      <c r="C147" s="9"/>
      <c r="D147" s="9"/>
      <c r="E147" s="9"/>
      <c r="F147" s="10"/>
      <c r="G147" s="10"/>
      <c r="H147" s="9"/>
      <c r="I147" s="9"/>
      <c r="J147" s="8"/>
      <c r="K147" s="9"/>
    </row>
    <row r="148">
      <c r="A148" s="9"/>
      <c r="B148" s="9"/>
      <c r="C148" s="9"/>
      <c r="D148" s="9"/>
      <c r="E148" s="9"/>
      <c r="F148" s="10"/>
      <c r="G148" s="10"/>
      <c r="H148" s="9"/>
      <c r="I148" s="9"/>
      <c r="J148" s="8"/>
      <c r="K148" s="9"/>
    </row>
    <row r="149">
      <c r="A149" s="9"/>
      <c r="B149" s="9"/>
      <c r="C149" s="9"/>
      <c r="D149" s="9"/>
      <c r="E149" s="9"/>
      <c r="F149" s="10"/>
      <c r="G149" s="10"/>
      <c r="H149" s="9"/>
      <c r="I149" s="9"/>
      <c r="J149" s="8"/>
      <c r="K149" s="9"/>
    </row>
    <row r="150">
      <c r="A150" s="9"/>
      <c r="B150" s="9"/>
      <c r="C150" s="9"/>
      <c r="D150" s="9"/>
      <c r="E150" s="9"/>
      <c r="F150" s="10"/>
      <c r="G150" s="10"/>
      <c r="H150" s="9"/>
      <c r="I150" s="9"/>
      <c r="J150" s="8"/>
      <c r="K150" s="9"/>
    </row>
    <row r="151">
      <c r="A151" s="9"/>
      <c r="B151" s="9"/>
      <c r="C151" s="9"/>
      <c r="D151" s="9"/>
      <c r="E151" s="9"/>
      <c r="F151" s="10"/>
      <c r="G151" s="10"/>
      <c r="H151" s="9"/>
      <c r="I151" s="9"/>
      <c r="J151" s="8"/>
      <c r="K151" s="9"/>
    </row>
    <row r="152">
      <c r="A152" s="9"/>
      <c r="B152" s="9"/>
      <c r="C152" s="9"/>
      <c r="D152" s="9"/>
      <c r="E152" s="9"/>
      <c r="F152" s="10"/>
      <c r="G152" s="10"/>
      <c r="H152" s="9"/>
      <c r="I152" s="9"/>
      <c r="J152" s="8"/>
      <c r="K152" s="9"/>
    </row>
    <row r="153">
      <c r="A153" s="9"/>
      <c r="B153" s="9"/>
      <c r="C153" s="9"/>
      <c r="D153" s="9"/>
      <c r="E153" s="9"/>
      <c r="F153" s="10"/>
      <c r="G153" s="10"/>
      <c r="H153" s="9"/>
      <c r="I153" s="9"/>
      <c r="J153" s="8"/>
      <c r="K153" s="9"/>
    </row>
    <row r="154">
      <c r="A154" s="9"/>
      <c r="B154" s="9"/>
      <c r="C154" s="9"/>
      <c r="D154" s="9"/>
      <c r="E154" s="9"/>
      <c r="F154" s="10"/>
      <c r="G154" s="10"/>
      <c r="H154" s="9"/>
      <c r="I154" s="9"/>
      <c r="J154" s="8"/>
      <c r="K154" s="9"/>
    </row>
    <row r="155">
      <c r="A155" s="9"/>
      <c r="B155" s="9"/>
      <c r="C155" s="9"/>
      <c r="D155" s="9"/>
      <c r="E155" s="9"/>
      <c r="F155" s="10"/>
      <c r="G155" s="10"/>
      <c r="H155" s="9"/>
      <c r="I155" s="9"/>
      <c r="J155" s="8"/>
      <c r="K155" s="9"/>
    </row>
    <row r="156">
      <c r="A156" s="9"/>
      <c r="B156" s="9"/>
      <c r="C156" s="9"/>
      <c r="D156" s="9"/>
      <c r="E156" s="9"/>
      <c r="F156" s="10"/>
      <c r="G156" s="10"/>
      <c r="H156" s="9"/>
      <c r="I156" s="9"/>
      <c r="J156" s="8"/>
      <c r="K156" s="9"/>
    </row>
    <row r="157">
      <c r="A157" s="9"/>
      <c r="B157" s="9"/>
      <c r="C157" s="9"/>
      <c r="D157" s="9"/>
      <c r="E157" s="9"/>
      <c r="F157" s="10"/>
      <c r="G157" s="10"/>
      <c r="H157" s="9"/>
      <c r="I157" s="9"/>
      <c r="J157" s="8"/>
      <c r="K157" s="9"/>
    </row>
    <row r="158">
      <c r="A158" s="9"/>
      <c r="B158" s="9"/>
      <c r="C158" s="9"/>
      <c r="D158" s="9"/>
      <c r="E158" s="9"/>
      <c r="F158" s="10"/>
      <c r="G158" s="10"/>
      <c r="H158" s="9"/>
      <c r="I158" s="9"/>
      <c r="J158" s="8"/>
      <c r="K158" s="9"/>
    </row>
    <row r="159">
      <c r="A159" s="9"/>
      <c r="B159" s="9"/>
      <c r="C159" s="9"/>
      <c r="D159" s="9"/>
      <c r="E159" s="9"/>
      <c r="F159" s="10"/>
      <c r="G159" s="10"/>
      <c r="H159" s="9"/>
      <c r="I159" s="9"/>
      <c r="J159" s="8"/>
      <c r="K159" s="9"/>
    </row>
    <row r="160">
      <c r="A160" s="9"/>
      <c r="B160" s="9"/>
      <c r="C160" s="9"/>
      <c r="D160" s="9"/>
      <c r="E160" s="9"/>
      <c r="F160" s="10"/>
      <c r="G160" s="10"/>
      <c r="H160" s="9"/>
      <c r="I160" s="9"/>
      <c r="J160" s="8"/>
      <c r="K160" s="9"/>
    </row>
    <row r="161">
      <c r="A161" s="9"/>
      <c r="B161" s="9"/>
      <c r="C161" s="9"/>
      <c r="D161" s="9"/>
      <c r="E161" s="9"/>
      <c r="F161" s="10"/>
      <c r="G161" s="10"/>
      <c r="H161" s="9"/>
      <c r="I161" s="9"/>
      <c r="J161" s="8"/>
      <c r="K161" s="9"/>
    </row>
    <row r="162">
      <c r="A162" s="9"/>
      <c r="B162" s="9"/>
      <c r="C162" s="9"/>
      <c r="D162" s="9"/>
      <c r="E162" s="9"/>
      <c r="F162" s="10"/>
      <c r="G162" s="10"/>
      <c r="H162" s="9"/>
      <c r="I162" s="9"/>
      <c r="J162" s="8"/>
      <c r="K162" s="9"/>
    </row>
    <row r="163">
      <c r="A163" s="9"/>
      <c r="B163" s="9"/>
      <c r="C163" s="9"/>
      <c r="D163" s="9"/>
      <c r="E163" s="9"/>
      <c r="F163" s="10"/>
      <c r="G163" s="10"/>
      <c r="H163" s="9"/>
      <c r="I163" s="9"/>
      <c r="J163" s="8"/>
      <c r="K163" s="9"/>
    </row>
    <row r="164">
      <c r="A164" s="9"/>
      <c r="B164" s="9"/>
      <c r="C164" s="9"/>
      <c r="D164" s="9"/>
      <c r="E164" s="9"/>
      <c r="F164" s="10"/>
      <c r="G164" s="10"/>
      <c r="H164" s="9"/>
      <c r="I164" s="9"/>
      <c r="J164" s="8"/>
      <c r="K164" s="9"/>
    </row>
    <row r="165">
      <c r="A165" s="9"/>
      <c r="B165" s="9"/>
      <c r="C165" s="9"/>
      <c r="D165" s="9"/>
      <c r="E165" s="9"/>
      <c r="F165" s="10"/>
      <c r="G165" s="10"/>
      <c r="H165" s="9"/>
      <c r="I165" s="9"/>
      <c r="J165" s="8"/>
      <c r="K165" s="9"/>
    </row>
    <row r="166">
      <c r="A166" s="9"/>
      <c r="B166" s="9"/>
      <c r="C166" s="9"/>
      <c r="D166" s="9"/>
      <c r="E166" s="9"/>
      <c r="F166" s="10"/>
      <c r="G166" s="10"/>
      <c r="H166" s="9"/>
      <c r="I166" s="9"/>
      <c r="J166" s="8"/>
      <c r="K166" s="9"/>
    </row>
    <row r="167">
      <c r="A167" s="9"/>
      <c r="B167" s="9"/>
      <c r="C167" s="9"/>
      <c r="D167" s="9"/>
      <c r="E167" s="9"/>
      <c r="F167" s="10"/>
      <c r="G167" s="10"/>
      <c r="H167" s="9"/>
      <c r="I167" s="9"/>
      <c r="J167" s="8"/>
      <c r="K167" s="9"/>
    </row>
    <row r="168">
      <c r="A168" s="9"/>
      <c r="B168" s="9"/>
      <c r="C168" s="9"/>
      <c r="D168" s="9"/>
      <c r="E168" s="9"/>
      <c r="F168" s="10"/>
      <c r="G168" s="10"/>
      <c r="H168" s="9"/>
      <c r="I168" s="9"/>
      <c r="J168" s="8"/>
      <c r="K168" s="9"/>
    </row>
    <row r="169">
      <c r="A169" s="9"/>
      <c r="B169" s="9"/>
      <c r="C169" s="9"/>
      <c r="D169" s="9"/>
      <c r="E169" s="9"/>
      <c r="F169" s="10"/>
      <c r="G169" s="10"/>
      <c r="H169" s="9"/>
      <c r="I169" s="9"/>
      <c r="J169" s="8"/>
      <c r="K169" s="9"/>
    </row>
    <row r="170">
      <c r="A170" s="9"/>
      <c r="B170" s="9"/>
      <c r="C170" s="9"/>
      <c r="D170" s="9"/>
      <c r="E170" s="9"/>
      <c r="F170" s="10"/>
      <c r="G170" s="10"/>
      <c r="H170" s="9"/>
      <c r="I170" s="9"/>
      <c r="J170" s="8"/>
      <c r="K170" s="9"/>
    </row>
    <row r="171">
      <c r="A171" s="9"/>
      <c r="B171" s="9"/>
      <c r="C171" s="9"/>
      <c r="D171" s="9"/>
      <c r="E171" s="9"/>
      <c r="F171" s="10"/>
      <c r="G171" s="10"/>
      <c r="H171" s="9"/>
      <c r="I171" s="9"/>
      <c r="J171" s="8"/>
      <c r="K171" s="9"/>
    </row>
    <row r="172">
      <c r="A172" s="9"/>
      <c r="B172" s="9"/>
      <c r="C172" s="9"/>
      <c r="D172" s="9"/>
      <c r="E172" s="9"/>
      <c r="F172" s="10"/>
      <c r="G172" s="10"/>
      <c r="H172" s="9"/>
      <c r="I172" s="9"/>
      <c r="J172" s="8"/>
      <c r="K172" s="9"/>
    </row>
    <row r="173">
      <c r="A173" s="9"/>
      <c r="B173" s="9"/>
      <c r="C173" s="9"/>
      <c r="D173" s="9"/>
      <c r="E173" s="9"/>
      <c r="F173" s="10"/>
      <c r="G173" s="10"/>
      <c r="H173" s="9"/>
      <c r="I173" s="9"/>
      <c r="J173" s="8"/>
      <c r="K173" s="9"/>
    </row>
    <row r="174">
      <c r="A174" s="9"/>
      <c r="B174" s="9"/>
      <c r="C174" s="9"/>
      <c r="D174" s="9"/>
      <c r="E174" s="9"/>
      <c r="F174" s="10"/>
      <c r="G174" s="10"/>
      <c r="H174" s="9"/>
      <c r="I174" s="9"/>
      <c r="J174" s="8"/>
      <c r="K174" s="9"/>
    </row>
    <row r="175">
      <c r="A175" s="9"/>
      <c r="B175" s="9"/>
      <c r="C175" s="9"/>
      <c r="D175" s="9"/>
      <c r="E175" s="9"/>
      <c r="F175" s="10"/>
      <c r="G175" s="10"/>
      <c r="H175" s="9"/>
      <c r="I175" s="9"/>
      <c r="J175" s="8"/>
      <c r="K175" s="9"/>
    </row>
    <row r="176">
      <c r="A176" s="9"/>
      <c r="B176" s="9"/>
      <c r="C176" s="9"/>
      <c r="D176" s="9"/>
      <c r="E176" s="9"/>
      <c r="F176" s="10"/>
      <c r="G176" s="10"/>
      <c r="H176" s="9"/>
      <c r="I176" s="9"/>
      <c r="J176" s="8"/>
      <c r="K176" s="9"/>
    </row>
    <row r="177">
      <c r="A177" s="9"/>
      <c r="B177" s="9"/>
      <c r="C177" s="9"/>
      <c r="D177" s="9"/>
      <c r="E177" s="9"/>
      <c r="F177" s="10"/>
      <c r="G177" s="10"/>
      <c r="H177" s="9"/>
      <c r="I177" s="9"/>
      <c r="J177" s="8"/>
      <c r="K177" s="9"/>
    </row>
    <row r="178">
      <c r="A178" s="9"/>
      <c r="B178" s="9"/>
      <c r="C178" s="9"/>
      <c r="D178" s="9"/>
      <c r="E178" s="9"/>
      <c r="F178" s="10"/>
      <c r="G178" s="10"/>
      <c r="H178" s="9"/>
      <c r="I178" s="9"/>
      <c r="J178" s="8"/>
      <c r="K178" s="9"/>
    </row>
    <row r="179">
      <c r="A179" s="9"/>
      <c r="B179" s="9"/>
      <c r="C179" s="9"/>
      <c r="D179" s="9"/>
      <c r="E179" s="9"/>
      <c r="F179" s="10"/>
      <c r="G179" s="10"/>
      <c r="H179" s="9"/>
      <c r="I179" s="9"/>
      <c r="J179" s="8"/>
      <c r="K179" s="9"/>
    </row>
    <row r="180">
      <c r="A180" s="9"/>
      <c r="B180" s="9"/>
      <c r="C180" s="9"/>
      <c r="D180" s="9"/>
      <c r="E180" s="9"/>
      <c r="F180" s="10"/>
      <c r="G180" s="10"/>
      <c r="H180" s="9"/>
      <c r="I180" s="9"/>
      <c r="J180" s="8"/>
      <c r="K180" s="9"/>
    </row>
    <row r="181">
      <c r="A181" s="9"/>
      <c r="B181" s="9"/>
      <c r="C181" s="9"/>
      <c r="D181" s="9"/>
      <c r="E181" s="9"/>
      <c r="F181" s="10"/>
      <c r="G181" s="10"/>
      <c r="H181" s="9"/>
      <c r="I181" s="9"/>
      <c r="J181" s="8"/>
      <c r="K181" s="9"/>
    </row>
    <row r="182">
      <c r="A182" s="9"/>
      <c r="B182" s="9"/>
      <c r="C182" s="9"/>
      <c r="D182" s="9"/>
      <c r="E182" s="9"/>
      <c r="F182" s="10"/>
      <c r="G182" s="10"/>
      <c r="H182" s="9"/>
      <c r="I182" s="9"/>
      <c r="J182" s="8"/>
      <c r="K182" s="9"/>
    </row>
    <row r="183">
      <c r="A183" s="9"/>
      <c r="B183" s="9"/>
      <c r="C183" s="9"/>
      <c r="D183" s="9"/>
      <c r="E183" s="9"/>
      <c r="F183" s="10"/>
      <c r="G183" s="10"/>
      <c r="H183" s="9"/>
      <c r="I183" s="9"/>
      <c r="J183" s="8"/>
      <c r="K183" s="9"/>
    </row>
    <row r="184">
      <c r="A184" s="9"/>
      <c r="B184" s="9"/>
      <c r="C184" s="9"/>
      <c r="D184" s="9"/>
      <c r="E184" s="9"/>
      <c r="F184" s="10"/>
      <c r="G184" s="10"/>
      <c r="H184" s="9"/>
      <c r="I184" s="9"/>
      <c r="J184" s="8"/>
      <c r="K184" s="9"/>
    </row>
    <row r="185">
      <c r="A185" s="9"/>
      <c r="B185" s="9"/>
      <c r="C185" s="9"/>
      <c r="D185" s="9"/>
      <c r="E185" s="9"/>
      <c r="F185" s="10"/>
      <c r="G185" s="10"/>
      <c r="H185" s="9"/>
      <c r="I185" s="9"/>
      <c r="J185" s="8"/>
      <c r="K185" s="9"/>
    </row>
    <row r="186">
      <c r="A186" s="9"/>
      <c r="B186" s="9"/>
      <c r="C186" s="9"/>
      <c r="D186" s="9"/>
      <c r="E186" s="9"/>
      <c r="F186" s="10"/>
      <c r="G186" s="10"/>
      <c r="H186" s="9"/>
      <c r="I186" s="9"/>
      <c r="J186" s="8"/>
      <c r="K186" s="9"/>
    </row>
    <row r="187">
      <c r="A187" s="9"/>
      <c r="B187" s="9"/>
      <c r="C187" s="9"/>
      <c r="D187" s="9"/>
      <c r="E187" s="9"/>
      <c r="F187" s="10"/>
      <c r="G187" s="10"/>
      <c r="H187" s="9"/>
      <c r="I187" s="9"/>
      <c r="J187" s="8"/>
      <c r="K187" s="9"/>
    </row>
    <row r="188">
      <c r="A188" s="9"/>
      <c r="B188" s="9"/>
      <c r="C188" s="9"/>
      <c r="D188" s="9"/>
      <c r="E188" s="9"/>
      <c r="F188" s="10"/>
      <c r="G188" s="10"/>
      <c r="H188" s="9"/>
      <c r="I188" s="9"/>
      <c r="J188" s="8"/>
      <c r="K188" s="9"/>
    </row>
    <row r="189">
      <c r="A189" s="9"/>
      <c r="B189" s="9"/>
      <c r="C189" s="9"/>
      <c r="D189" s="9"/>
      <c r="E189" s="9"/>
      <c r="F189" s="10"/>
      <c r="G189" s="10"/>
      <c r="H189" s="9"/>
      <c r="I189" s="9"/>
      <c r="J189" s="8"/>
      <c r="K189" s="9"/>
    </row>
    <row r="190">
      <c r="A190" s="9"/>
      <c r="B190" s="9"/>
      <c r="C190" s="9"/>
      <c r="D190" s="9"/>
      <c r="E190" s="9"/>
      <c r="F190" s="10"/>
      <c r="G190" s="10"/>
      <c r="H190" s="9"/>
      <c r="I190" s="9"/>
      <c r="J190" s="8"/>
      <c r="K190" s="9"/>
    </row>
    <row r="191">
      <c r="A191" s="9"/>
      <c r="B191" s="9"/>
      <c r="C191" s="9"/>
      <c r="D191" s="9"/>
      <c r="E191" s="9"/>
      <c r="F191" s="10"/>
      <c r="G191" s="10"/>
      <c r="H191" s="9"/>
      <c r="I191" s="9"/>
      <c r="J191" s="8"/>
      <c r="K191" s="9"/>
    </row>
    <row r="192">
      <c r="A192" s="9"/>
      <c r="B192" s="9"/>
      <c r="C192" s="9"/>
      <c r="D192" s="9"/>
      <c r="E192" s="9"/>
      <c r="F192" s="10"/>
      <c r="G192" s="10"/>
      <c r="H192" s="9"/>
      <c r="I192" s="9"/>
      <c r="J192" s="8"/>
      <c r="K192" s="9"/>
    </row>
    <row r="193">
      <c r="A193" s="9"/>
      <c r="B193" s="9"/>
      <c r="C193" s="9"/>
      <c r="D193" s="9"/>
      <c r="E193" s="9"/>
      <c r="F193" s="10"/>
      <c r="G193" s="10"/>
      <c r="H193" s="9"/>
      <c r="I193" s="9"/>
      <c r="J193" s="8"/>
      <c r="K193" s="9"/>
    </row>
    <row r="194">
      <c r="A194" s="9"/>
      <c r="B194" s="9"/>
      <c r="C194" s="9"/>
      <c r="D194" s="9"/>
      <c r="E194" s="9"/>
      <c r="F194" s="10"/>
      <c r="G194" s="10"/>
      <c r="H194" s="9"/>
      <c r="I194" s="9"/>
      <c r="J194" s="8"/>
      <c r="K194" s="9"/>
    </row>
    <row r="195">
      <c r="A195" s="9"/>
      <c r="B195" s="9"/>
      <c r="C195" s="9"/>
      <c r="D195" s="9"/>
      <c r="E195" s="9"/>
      <c r="F195" s="10"/>
      <c r="G195" s="10"/>
      <c r="H195" s="9"/>
      <c r="I195" s="9"/>
      <c r="J195" s="8"/>
      <c r="K195" s="9"/>
    </row>
    <row r="196">
      <c r="A196" s="9"/>
      <c r="B196" s="9"/>
      <c r="C196" s="9"/>
      <c r="D196" s="9"/>
      <c r="E196" s="9"/>
      <c r="F196" s="10"/>
      <c r="G196" s="10"/>
      <c r="H196" s="9"/>
      <c r="I196" s="9"/>
      <c r="J196" s="8"/>
      <c r="K196" s="9"/>
    </row>
    <row r="197">
      <c r="A197" s="9"/>
      <c r="B197" s="9"/>
      <c r="C197" s="9"/>
      <c r="D197" s="9"/>
      <c r="E197" s="9"/>
      <c r="F197" s="10"/>
      <c r="G197" s="10"/>
      <c r="H197" s="9"/>
      <c r="I197" s="9"/>
      <c r="J197" s="8"/>
      <c r="K197" s="9"/>
    </row>
    <row r="198">
      <c r="A198" s="9"/>
      <c r="B198" s="9"/>
      <c r="C198" s="9"/>
      <c r="D198" s="9"/>
      <c r="E198" s="9"/>
      <c r="F198" s="10"/>
      <c r="G198" s="10"/>
      <c r="H198" s="9"/>
      <c r="I198" s="9"/>
      <c r="J198" s="8"/>
      <c r="K198" s="9"/>
    </row>
    <row r="199">
      <c r="A199" s="9"/>
      <c r="B199" s="9"/>
      <c r="C199" s="9"/>
      <c r="D199" s="9"/>
      <c r="E199" s="9"/>
      <c r="F199" s="10"/>
      <c r="G199" s="10"/>
      <c r="H199" s="9"/>
      <c r="I199" s="9"/>
      <c r="J199" s="8"/>
      <c r="K199" s="9"/>
    </row>
    <row r="200">
      <c r="A200" s="9"/>
      <c r="B200" s="9"/>
      <c r="C200" s="9"/>
      <c r="D200" s="9"/>
      <c r="E200" s="9"/>
      <c r="F200" s="10"/>
      <c r="G200" s="10"/>
      <c r="H200" s="9"/>
      <c r="I200" s="9"/>
      <c r="J200" s="8"/>
      <c r="K200" s="9"/>
    </row>
    <row r="201">
      <c r="A201" s="9"/>
      <c r="B201" s="9"/>
      <c r="C201" s="9"/>
      <c r="D201" s="9"/>
      <c r="E201" s="9"/>
      <c r="F201" s="10"/>
      <c r="G201" s="10"/>
      <c r="H201" s="9"/>
      <c r="I201" s="9"/>
      <c r="J201" s="8"/>
      <c r="K201" s="9"/>
    </row>
    <row r="202">
      <c r="A202" s="9"/>
      <c r="B202" s="9"/>
      <c r="C202" s="9"/>
      <c r="D202" s="9"/>
      <c r="E202" s="9"/>
      <c r="F202" s="10"/>
      <c r="G202" s="10"/>
      <c r="H202" s="9"/>
      <c r="I202" s="9"/>
      <c r="J202" s="8"/>
      <c r="K202" s="9"/>
    </row>
    <row r="203">
      <c r="A203" s="9"/>
      <c r="B203" s="9"/>
      <c r="C203" s="9"/>
      <c r="D203" s="9"/>
      <c r="E203" s="9"/>
      <c r="F203" s="10"/>
      <c r="G203" s="10"/>
      <c r="H203" s="9"/>
      <c r="I203" s="9"/>
      <c r="J203" s="8"/>
      <c r="K203" s="9"/>
    </row>
    <row r="204">
      <c r="A204" s="9"/>
      <c r="B204" s="9"/>
      <c r="C204" s="9"/>
      <c r="D204" s="9"/>
      <c r="E204" s="9"/>
      <c r="F204" s="10"/>
      <c r="G204" s="10"/>
      <c r="H204" s="9"/>
      <c r="I204" s="9"/>
      <c r="J204" s="8"/>
      <c r="K204" s="9"/>
    </row>
    <row r="205">
      <c r="A205" s="9"/>
      <c r="B205" s="9"/>
      <c r="C205" s="9"/>
      <c r="D205" s="9"/>
      <c r="E205" s="9"/>
      <c r="F205" s="10"/>
      <c r="G205" s="10"/>
      <c r="H205" s="9"/>
      <c r="I205" s="9"/>
      <c r="J205" s="8"/>
      <c r="K205" s="9"/>
    </row>
    <row r="206">
      <c r="A206" s="9"/>
      <c r="B206" s="9"/>
      <c r="C206" s="9"/>
      <c r="D206" s="9"/>
      <c r="E206" s="9"/>
      <c r="F206" s="10"/>
      <c r="G206" s="10"/>
      <c r="H206" s="9"/>
      <c r="I206" s="9"/>
      <c r="J206" s="8"/>
      <c r="K206" s="9"/>
    </row>
    <row r="207">
      <c r="A207" s="9"/>
      <c r="B207" s="9"/>
      <c r="C207" s="9"/>
      <c r="D207" s="9"/>
      <c r="E207" s="9"/>
      <c r="F207" s="10"/>
      <c r="G207" s="10"/>
      <c r="H207" s="9"/>
      <c r="I207" s="9"/>
      <c r="J207" s="8"/>
      <c r="K207" s="9"/>
    </row>
    <row r="208">
      <c r="A208" s="9"/>
      <c r="B208" s="9"/>
      <c r="C208" s="9"/>
      <c r="D208" s="9"/>
      <c r="E208" s="9"/>
      <c r="F208" s="10"/>
      <c r="G208" s="10"/>
      <c r="H208" s="9"/>
      <c r="I208" s="9"/>
      <c r="J208" s="8"/>
      <c r="K208" s="9"/>
    </row>
    <row r="209">
      <c r="A209" s="9"/>
      <c r="B209" s="9"/>
      <c r="C209" s="9"/>
      <c r="D209" s="9"/>
      <c r="E209" s="9"/>
      <c r="F209" s="10"/>
      <c r="G209" s="10"/>
      <c r="H209" s="9"/>
      <c r="I209" s="9"/>
      <c r="J209" s="8"/>
      <c r="K209" s="9"/>
    </row>
    <row r="210">
      <c r="A210" s="9"/>
      <c r="B210" s="9"/>
      <c r="C210" s="9"/>
      <c r="D210" s="9"/>
      <c r="E210" s="9"/>
      <c r="F210" s="10"/>
      <c r="G210" s="10"/>
      <c r="H210" s="9"/>
      <c r="I210" s="9"/>
      <c r="J210" s="8"/>
      <c r="K210" s="9"/>
    </row>
    <row r="211">
      <c r="A211" s="9"/>
      <c r="B211" s="9"/>
      <c r="C211" s="9"/>
      <c r="D211" s="9"/>
      <c r="E211" s="9"/>
      <c r="F211" s="10"/>
      <c r="G211" s="10"/>
      <c r="H211" s="9"/>
      <c r="I211" s="9"/>
      <c r="J211" s="8"/>
      <c r="K211" s="9"/>
    </row>
    <row r="212">
      <c r="A212" s="9"/>
      <c r="B212" s="9"/>
      <c r="C212" s="9"/>
      <c r="D212" s="9"/>
      <c r="E212" s="9"/>
      <c r="F212" s="10"/>
      <c r="G212" s="10"/>
      <c r="H212" s="9"/>
      <c r="I212" s="9"/>
      <c r="J212" s="8"/>
      <c r="K212" s="9"/>
    </row>
    <row r="213">
      <c r="A213" s="9"/>
      <c r="B213" s="9"/>
      <c r="C213" s="9"/>
      <c r="D213" s="9"/>
      <c r="E213" s="9"/>
      <c r="F213" s="10"/>
      <c r="G213" s="10"/>
      <c r="H213" s="9"/>
      <c r="I213" s="9"/>
      <c r="J213" s="8"/>
      <c r="K213" s="9"/>
    </row>
    <row r="214">
      <c r="A214" s="9"/>
      <c r="B214" s="9"/>
      <c r="C214" s="9"/>
      <c r="D214" s="9"/>
      <c r="E214" s="9"/>
      <c r="F214" s="10"/>
      <c r="G214" s="10"/>
      <c r="H214" s="9"/>
      <c r="I214" s="9"/>
      <c r="J214" s="8"/>
      <c r="K214" s="9"/>
    </row>
    <row r="215">
      <c r="A215" s="9"/>
      <c r="B215" s="9"/>
      <c r="C215" s="9"/>
      <c r="D215" s="9"/>
      <c r="E215" s="9"/>
      <c r="F215" s="10"/>
      <c r="G215" s="10"/>
      <c r="H215" s="9"/>
      <c r="I215" s="9"/>
      <c r="J215" s="8"/>
      <c r="K215" s="9"/>
    </row>
    <row r="216">
      <c r="A216" s="9"/>
      <c r="B216" s="9"/>
      <c r="C216" s="9"/>
      <c r="D216" s="9"/>
      <c r="E216" s="9"/>
      <c r="F216" s="10"/>
      <c r="G216" s="10"/>
      <c r="H216" s="9"/>
      <c r="I216" s="9"/>
      <c r="J216" s="8"/>
      <c r="K216" s="9"/>
    </row>
    <row r="217">
      <c r="A217" s="9"/>
      <c r="B217" s="9"/>
      <c r="C217" s="9"/>
      <c r="D217" s="9"/>
      <c r="E217" s="9"/>
      <c r="F217" s="10"/>
      <c r="G217" s="10"/>
      <c r="H217" s="9"/>
      <c r="I217" s="9"/>
      <c r="J217" s="8"/>
      <c r="K217" s="9"/>
    </row>
    <row r="218">
      <c r="A218" s="9"/>
      <c r="B218" s="9"/>
      <c r="C218" s="9"/>
      <c r="D218" s="9"/>
      <c r="E218" s="9"/>
      <c r="F218" s="10"/>
      <c r="G218" s="10"/>
      <c r="H218" s="9"/>
      <c r="I218" s="9"/>
      <c r="J218" s="8"/>
      <c r="K218" s="9"/>
    </row>
    <row r="219">
      <c r="A219" s="9"/>
      <c r="B219" s="9"/>
      <c r="C219" s="9"/>
      <c r="D219" s="9"/>
      <c r="E219" s="9"/>
      <c r="F219" s="10"/>
      <c r="G219" s="10"/>
      <c r="H219" s="9"/>
      <c r="I219" s="9"/>
      <c r="J219" s="8"/>
      <c r="K219" s="9"/>
    </row>
    <row r="220">
      <c r="A220" s="9"/>
      <c r="B220" s="9"/>
      <c r="C220" s="9"/>
      <c r="D220" s="9"/>
      <c r="E220" s="9"/>
      <c r="F220" s="10"/>
      <c r="G220" s="10"/>
      <c r="H220" s="9"/>
      <c r="I220" s="9"/>
      <c r="J220" s="8"/>
      <c r="K220" s="9"/>
    </row>
    <row r="221">
      <c r="A221" s="9"/>
      <c r="B221" s="9"/>
      <c r="C221" s="9"/>
      <c r="D221" s="9"/>
      <c r="E221" s="9"/>
      <c r="F221" s="10"/>
      <c r="G221" s="10"/>
      <c r="H221" s="9"/>
      <c r="I221" s="9"/>
      <c r="J221" s="8"/>
      <c r="K221" s="9"/>
    </row>
    <row r="222">
      <c r="A222" s="9"/>
      <c r="B222" s="9"/>
      <c r="C222" s="9"/>
      <c r="D222" s="9"/>
      <c r="E222" s="9"/>
      <c r="F222" s="10"/>
      <c r="G222" s="10"/>
      <c r="H222" s="9"/>
      <c r="I222" s="9"/>
      <c r="J222" s="8"/>
      <c r="K222" s="9"/>
    </row>
    <row r="223">
      <c r="A223" s="9"/>
      <c r="B223" s="9"/>
      <c r="C223" s="9"/>
      <c r="D223" s="9"/>
      <c r="E223" s="9"/>
      <c r="F223" s="10"/>
      <c r="G223" s="10"/>
      <c r="H223" s="9"/>
      <c r="I223" s="9"/>
      <c r="J223" s="8"/>
      <c r="K223" s="9"/>
    </row>
    <row r="224">
      <c r="A224" s="9"/>
      <c r="B224" s="9"/>
      <c r="C224" s="9"/>
      <c r="D224" s="9"/>
      <c r="E224" s="9"/>
      <c r="F224" s="10"/>
      <c r="G224" s="10"/>
      <c r="H224" s="9"/>
      <c r="I224" s="9"/>
      <c r="J224" s="8"/>
      <c r="K224" s="9"/>
    </row>
    <row r="225">
      <c r="A225" s="9"/>
      <c r="B225" s="9"/>
      <c r="C225" s="9"/>
      <c r="D225" s="9"/>
      <c r="E225" s="9"/>
      <c r="F225" s="10"/>
      <c r="G225" s="10"/>
      <c r="H225" s="9"/>
      <c r="I225" s="9"/>
      <c r="J225" s="8"/>
      <c r="K225" s="9"/>
    </row>
    <row r="226">
      <c r="A226" s="9"/>
      <c r="B226" s="9"/>
      <c r="C226" s="9"/>
      <c r="D226" s="9"/>
      <c r="E226" s="9"/>
      <c r="F226" s="10"/>
      <c r="G226" s="10"/>
      <c r="H226" s="9"/>
      <c r="I226" s="9"/>
      <c r="J226" s="8"/>
      <c r="K226" s="9"/>
    </row>
    <row r="227">
      <c r="A227" s="9"/>
      <c r="B227" s="9"/>
      <c r="C227" s="9"/>
      <c r="D227" s="9"/>
      <c r="E227" s="9"/>
      <c r="F227" s="10"/>
      <c r="G227" s="10"/>
      <c r="H227" s="9"/>
      <c r="I227" s="9"/>
      <c r="J227" s="8"/>
      <c r="K227" s="9"/>
    </row>
    <row r="228">
      <c r="A228" s="9"/>
      <c r="B228" s="9"/>
      <c r="C228" s="9"/>
      <c r="D228" s="9"/>
      <c r="E228" s="9"/>
      <c r="F228" s="10"/>
      <c r="G228" s="10"/>
      <c r="H228" s="9"/>
      <c r="I228" s="9"/>
      <c r="J228" s="8"/>
      <c r="K228" s="9"/>
    </row>
    <row r="229">
      <c r="A229" s="9"/>
      <c r="B229" s="9"/>
      <c r="C229" s="9"/>
      <c r="D229" s="9"/>
      <c r="E229" s="9"/>
      <c r="F229" s="10"/>
      <c r="G229" s="10"/>
      <c r="H229" s="9"/>
      <c r="I229" s="9"/>
      <c r="J229" s="8"/>
      <c r="K229" s="9"/>
    </row>
    <row r="230">
      <c r="A230" s="9"/>
      <c r="B230" s="9"/>
      <c r="C230" s="9"/>
      <c r="D230" s="9"/>
      <c r="E230" s="9"/>
      <c r="F230" s="10"/>
      <c r="G230" s="10"/>
      <c r="H230" s="9"/>
      <c r="I230" s="9"/>
      <c r="J230" s="8"/>
      <c r="K230" s="9"/>
    </row>
    <row r="231">
      <c r="A231" s="9"/>
      <c r="B231" s="9"/>
      <c r="C231" s="9"/>
      <c r="D231" s="9"/>
      <c r="E231" s="9"/>
      <c r="F231" s="10"/>
      <c r="G231" s="10"/>
      <c r="H231" s="9"/>
      <c r="I231" s="9"/>
      <c r="J231" s="8"/>
      <c r="K231" s="9"/>
    </row>
    <row r="232">
      <c r="A232" s="9"/>
      <c r="B232" s="9"/>
      <c r="C232" s="9"/>
      <c r="D232" s="9"/>
      <c r="E232" s="9"/>
      <c r="F232" s="10"/>
      <c r="G232" s="10"/>
      <c r="H232" s="9"/>
      <c r="I232" s="9"/>
      <c r="J232" s="8"/>
      <c r="K232" s="9"/>
    </row>
    <row r="233">
      <c r="A233" s="9"/>
      <c r="B233" s="9"/>
      <c r="C233" s="9"/>
      <c r="D233" s="9"/>
      <c r="E233" s="9"/>
      <c r="F233" s="10"/>
      <c r="G233" s="10"/>
      <c r="H233" s="9"/>
      <c r="I233" s="9"/>
      <c r="J233" s="8"/>
      <c r="K233" s="9"/>
    </row>
    <row r="234">
      <c r="A234" s="9"/>
      <c r="B234" s="9"/>
      <c r="C234" s="9"/>
      <c r="D234" s="9"/>
      <c r="E234" s="9"/>
      <c r="F234" s="10"/>
      <c r="G234" s="10"/>
      <c r="H234" s="9"/>
      <c r="I234" s="9"/>
      <c r="J234" s="8"/>
      <c r="K234" s="9"/>
    </row>
    <row r="235">
      <c r="A235" s="9"/>
      <c r="B235" s="9"/>
      <c r="C235" s="9"/>
      <c r="D235" s="9"/>
      <c r="E235" s="9"/>
      <c r="F235" s="10"/>
      <c r="G235" s="10"/>
      <c r="H235" s="9"/>
      <c r="I235" s="9"/>
      <c r="J235" s="8"/>
      <c r="K235" s="9"/>
    </row>
    <row r="236">
      <c r="A236" s="9"/>
      <c r="B236" s="9"/>
      <c r="C236" s="9"/>
      <c r="D236" s="9"/>
      <c r="E236" s="9"/>
      <c r="F236" s="10"/>
      <c r="G236" s="10"/>
      <c r="H236" s="9"/>
      <c r="I236" s="9"/>
      <c r="J236" s="8"/>
      <c r="K236" s="9"/>
    </row>
    <row r="237">
      <c r="A237" s="9"/>
      <c r="B237" s="9"/>
      <c r="C237" s="9"/>
      <c r="D237" s="9"/>
      <c r="E237" s="9"/>
      <c r="F237" s="10"/>
      <c r="G237" s="10"/>
      <c r="H237" s="9"/>
      <c r="I237" s="9"/>
      <c r="J237" s="8"/>
      <c r="K237" s="9"/>
    </row>
    <row r="238">
      <c r="A238" s="9"/>
      <c r="B238" s="9"/>
      <c r="C238" s="9"/>
      <c r="D238" s="9"/>
      <c r="E238" s="9"/>
      <c r="F238" s="10"/>
      <c r="G238" s="10"/>
      <c r="H238" s="9"/>
      <c r="I238" s="9"/>
      <c r="J238" s="8"/>
      <c r="K238" s="9"/>
    </row>
    <row r="239">
      <c r="A239" s="9"/>
      <c r="B239" s="9"/>
      <c r="C239" s="9"/>
      <c r="D239" s="9"/>
      <c r="E239" s="9"/>
      <c r="F239" s="10"/>
      <c r="G239" s="10"/>
      <c r="H239" s="9"/>
      <c r="I239" s="9"/>
      <c r="J239" s="8"/>
      <c r="K239" s="9"/>
    </row>
    <row r="240">
      <c r="A240" s="9"/>
      <c r="B240" s="9"/>
      <c r="C240" s="9"/>
      <c r="D240" s="9"/>
      <c r="E240" s="9"/>
      <c r="F240" s="10"/>
      <c r="G240" s="10"/>
      <c r="H240" s="9"/>
      <c r="I240" s="9"/>
      <c r="J240" s="8"/>
      <c r="K240" s="9"/>
    </row>
    <row r="241">
      <c r="A241" s="9"/>
      <c r="B241" s="9"/>
      <c r="C241" s="9"/>
      <c r="D241" s="9"/>
      <c r="E241" s="9"/>
      <c r="F241" s="10"/>
      <c r="G241" s="10"/>
      <c r="H241" s="9"/>
      <c r="I241" s="9"/>
      <c r="J241" s="8"/>
      <c r="K241" s="9"/>
    </row>
    <row r="242">
      <c r="A242" s="9"/>
      <c r="B242" s="9"/>
      <c r="C242" s="9"/>
      <c r="D242" s="9"/>
      <c r="E242" s="9"/>
      <c r="F242" s="10"/>
      <c r="G242" s="10"/>
      <c r="H242" s="9"/>
      <c r="I242" s="9"/>
      <c r="J242" s="8"/>
      <c r="K242" s="9"/>
    </row>
    <row r="243">
      <c r="A243" s="9"/>
      <c r="B243" s="9"/>
      <c r="C243" s="9"/>
      <c r="D243" s="9"/>
      <c r="E243" s="9"/>
      <c r="F243" s="10"/>
      <c r="G243" s="10"/>
      <c r="H243" s="9"/>
      <c r="I243" s="9"/>
      <c r="J243" s="8"/>
      <c r="K243" s="9"/>
    </row>
    <row r="244">
      <c r="A244" s="9"/>
      <c r="B244" s="9"/>
      <c r="C244" s="9"/>
      <c r="D244" s="9"/>
      <c r="E244" s="9"/>
      <c r="F244" s="10"/>
      <c r="G244" s="10"/>
      <c r="H244" s="9"/>
      <c r="I244" s="9"/>
      <c r="J244" s="8"/>
      <c r="K244" s="9"/>
    </row>
    <row r="245">
      <c r="A245" s="9"/>
      <c r="B245" s="9"/>
      <c r="C245" s="9"/>
      <c r="D245" s="9"/>
      <c r="E245" s="9"/>
      <c r="F245" s="10"/>
      <c r="G245" s="10"/>
      <c r="H245" s="9"/>
      <c r="I245" s="9"/>
      <c r="J245" s="8"/>
      <c r="K245" s="9"/>
    </row>
    <row r="246">
      <c r="A246" s="9"/>
      <c r="B246" s="9"/>
      <c r="C246" s="9"/>
      <c r="D246" s="9"/>
      <c r="E246" s="9"/>
      <c r="F246" s="10"/>
      <c r="G246" s="10"/>
      <c r="H246" s="9"/>
      <c r="I246" s="9"/>
      <c r="J246" s="8"/>
      <c r="K246" s="9"/>
    </row>
    <row r="247">
      <c r="A247" s="9"/>
      <c r="B247" s="9"/>
      <c r="C247" s="9"/>
      <c r="D247" s="9"/>
      <c r="E247" s="9"/>
      <c r="F247" s="10"/>
      <c r="G247" s="10"/>
      <c r="H247" s="9"/>
      <c r="I247" s="9"/>
      <c r="J247" s="8"/>
      <c r="K247" s="9"/>
    </row>
    <row r="248">
      <c r="A248" s="9"/>
      <c r="B248" s="9"/>
      <c r="C248" s="9"/>
      <c r="D248" s="9"/>
      <c r="E248" s="9"/>
      <c r="F248" s="10"/>
      <c r="G248" s="10"/>
      <c r="H248" s="9"/>
      <c r="I248" s="9"/>
      <c r="J248" s="8"/>
      <c r="K248" s="9"/>
    </row>
    <row r="249">
      <c r="A249" s="9"/>
      <c r="B249" s="9"/>
      <c r="C249" s="9"/>
      <c r="D249" s="9"/>
      <c r="E249" s="9"/>
      <c r="F249" s="10"/>
      <c r="G249" s="10"/>
      <c r="H249" s="9"/>
      <c r="I249" s="9"/>
      <c r="J249" s="8"/>
      <c r="K249" s="9"/>
    </row>
    <row r="250">
      <c r="A250" s="9"/>
      <c r="B250" s="9"/>
      <c r="C250" s="9"/>
      <c r="D250" s="9"/>
      <c r="E250" s="9"/>
      <c r="F250" s="10"/>
      <c r="G250" s="10"/>
      <c r="H250" s="9"/>
      <c r="I250" s="9"/>
      <c r="J250" s="8"/>
      <c r="K250" s="9"/>
    </row>
    <row r="251">
      <c r="A251" s="9"/>
      <c r="B251" s="9"/>
      <c r="C251" s="9"/>
      <c r="D251" s="9"/>
      <c r="E251" s="9"/>
      <c r="F251" s="10"/>
      <c r="G251" s="10"/>
      <c r="H251" s="9"/>
      <c r="I251" s="9"/>
      <c r="J251" s="8"/>
      <c r="K251" s="9"/>
    </row>
    <row r="252">
      <c r="A252" s="9"/>
      <c r="B252" s="9"/>
      <c r="C252" s="9"/>
      <c r="D252" s="9"/>
      <c r="E252" s="9"/>
      <c r="F252" s="10"/>
      <c r="G252" s="10"/>
      <c r="H252" s="9"/>
      <c r="I252" s="9"/>
      <c r="J252" s="8"/>
      <c r="K252" s="9"/>
    </row>
    <row r="253">
      <c r="A253" s="9"/>
      <c r="B253" s="9"/>
      <c r="C253" s="9"/>
      <c r="D253" s="9"/>
      <c r="E253" s="9"/>
      <c r="F253" s="10"/>
      <c r="G253" s="10"/>
      <c r="H253" s="9"/>
      <c r="I253" s="9"/>
      <c r="J253" s="8"/>
      <c r="K253" s="9"/>
    </row>
    <row r="254">
      <c r="A254" s="9"/>
      <c r="B254" s="9"/>
      <c r="C254" s="9"/>
      <c r="D254" s="9"/>
      <c r="E254" s="9"/>
      <c r="F254" s="10"/>
      <c r="G254" s="10"/>
      <c r="H254" s="9"/>
      <c r="I254" s="9"/>
      <c r="J254" s="8"/>
      <c r="K254" s="9"/>
    </row>
    <row r="255">
      <c r="A255" s="9"/>
      <c r="B255" s="9"/>
      <c r="C255" s="9"/>
      <c r="D255" s="9"/>
      <c r="E255" s="9"/>
      <c r="F255" s="10"/>
      <c r="G255" s="10"/>
      <c r="H255" s="9"/>
      <c r="I255" s="9"/>
      <c r="J255" s="8"/>
      <c r="K255" s="9"/>
    </row>
    <row r="256">
      <c r="A256" s="9"/>
      <c r="B256" s="9"/>
      <c r="C256" s="9"/>
      <c r="D256" s="9"/>
      <c r="E256" s="9"/>
      <c r="F256" s="10"/>
      <c r="G256" s="10"/>
      <c r="H256" s="9"/>
      <c r="I256" s="9"/>
      <c r="J256" s="8"/>
      <c r="K256" s="9"/>
    </row>
    <row r="257">
      <c r="A257" s="9"/>
      <c r="B257" s="9"/>
      <c r="C257" s="9"/>
      <c r="D257" s="9"/>
      <c r="E257" s="9"/>
      <c r="F257" s="10"/>
      <c r="G257" s="10"/>
      <c r="H257" s="9"/>
      <c r="I257" s="9"/>
      <c r="J257" s="8"/>
      <c r="K257" s="9"/>
    </row>
    <row r="258">
      <c r="A258" s="9"/>
      <c r="B258" s="9"/>
      <c r="C258" s="9"/>
      <c r="D258" s="9"/>
      <c r="E258" s="9"/>
      <c r="F258" s="10"/>
      <c r="G258" s="10"/>
      <c r="H258" s="9"/>
      <c r="I258" s="9"/>
      <c r="J258" s="8"/>
      <c r="K258" s="9"/>
    </row>
    <row r="259">
      <c r="A259" s="9"/>
      <c r="B259" s="9"/>
      <c r="C259" s="9"/>
      <c r="D259" s="9"/>
      <c r="E259" s="9"/>
      <c r="F259" s="10"/>
      <c r="G259" s="10"/>
      <c r="H259" s="9"/>
      <c r="I259" s="9"/>
      <c r="J259" s="8"/>
      <c r="K259" s="9"/>
    </row>
    <row r="260">
      <c r="A260" s="9"/>
      <c r="B260" s="9"/>
      <c r="C260" s="9"/>
      <c r="D260" s="9"/>
      <c r="E260" s="9"/>
      <c r="F260" s="10"/>
      <c r="G260" s="10"/>
      <c r="H260" s="9"/>
      <c r="I260" s="9"/>
      <c r="J260" s="8"/>
      <c r="K260" s="9"/>
    </row>
    <row r="261">
      <c r="A261" s="9"/>
      <c r="B261" s="9"/>
      <c r="C261" s="9"/>
      <c r="D261" s="9"/>
      <c r="E261" s="9"/>
      <c r="F261" s="10"/>
      <c r="G261" s="10"/>
      <c r="H261" s="9"/>
      <c r="I261" s="9"/>
      <c r="J261" s="8"/>
      <c r="K261" s="9"/>
    </row>
    <row r="262">
      <c r="A262" s="9"/>
      <c r="B262" s="9"/>
      <c r="C262" s="9"/>
      <c r="D262" s="9"/>
      <c r="E262" s="9"/>
      <c r="F262" s="10"/>
      <c r="G262" s="10"/>
      <c r="H262" s="9"/>
      <c r="I262" s="9"/>
      <c r="J262" s="8"/>
      <c r="K262" s="9"/>
    </row>
    <row r="263">
      <c r="A263" s="9"/>
      <c r="B263" s="9"/>
      <c r="C263" s="9"/>
      <c r="D263" s="9"/>
      <c r="E263" s="9"/>
      <c r="F263" s="10"/>
      <c r="G263" s="10"/>
      <c r="H263" s="9"/>
      <c r="I263" s="9"/>
      <c r="J263" s="8"/>
      <c r="K263" s="9"/>
    </row>
    <row r="264">
      <c r="A264" s="9"/>
      <c r="B264" s="9"/>
      <c r="C264" s="9"/>
      <c r="D264" s="9"/>
      <c r="E264" s="9"/>
      <c r="F264" s="10"/>
      <c r="G264" s="10"/>
      <c r="H264" s="9"/>
      <c r="I264" s="9"/>
      <c r="J264" s="8"/>
      <c r="K264" s="9"/>
    </row>
    <row r="265">
      <c r="A265" s="9"/>
      <c r="B265" s="9"/>
      <c r="C265" s="9"/>
      <c r="D265" s="9"/>
      <c r="E265" s="9"/>
      <c r="F265" s="10"/>
      <c r="G265" s="10"/>
      <c r="H265" s="9"/>
      <c r="I265" s="9"/>
      <c r="J265" s="8"/>
      <c r="K265" s="9"/>
    </row>
    <row r="266">
      <c r="A266" s="9"/>
      <c r="B266" s="9"/>
      <c r="C266" s="9"/>
      <c r="D266" s="9"/>
      <c r="E266" s="9"/>
      <c r="F266" s="10"/>
      <c r="G266" s="10"/>
      <c r="H266" s="9"/>
      <c r="I266" s="9"/>
      <c r="J266" s="8"/>
      <c r="K266" s="9"/>
    </row>
    <row r="267">
      <c r="A267" s="9"/>
      <c r="B267" s="9"/>
      <c r="C267" s="9"/>
      <c r="D267" s="9"/>
      <c r="E267" s="9"/>
      <c r="F267" s="10"/>
      <c r="G267" s="10"/>
      <c r="H267" s="9"/>
      <c r="I267" s="9"/>
      <c r="J267" s="8"/>
      <c r="K267" s="9"/>
    </row>
    <row r="268">
      <c r="A268" s="9"/>
      <c r="B268" s="9"/>
      <c r="C268" s="9"/>
      <c r="D268" s="9"/>
      <c r="E268" s="9"/>
      <c r="F268" s="10"/>
      <c r="G268" s="10"/>
      <c r="H268" s="9"/>
      <c r="I268" s="9"/>
      <c r="J268" s="8"/>
      <c r="K268" s="9"/>
    </row>
    <row r="269">
      <c r="A269" s="9"/>
      <c r="B269" s="9"/>
      <c r="C269" s="9"/>
      <c r="D269" s="9"/>
      <c r="E269" s="9"/>
      <c r="F269" s="10"/>
      <c r="G269" s="10"/>
      <c r="H269" s="9"/>
      <c r="I269" s="9"/>
      <c r="J269" s="8"/>
      <c r="K269" s="9"/>
    </row>
    <row r="270">
      <c r="A270" s="9"/>
      <c r="B270" s="9"/>
      <c r="C270" s="9"/>
      <c r="D270" s="9"/>
      <c r="E270" s="9"/>
      <c r="F270" s="10"/>
      <c r="G270" s="10"/>
      <c r="H270" s="9"/>
      <c r="I270" s="9"/>
      <c r="J270" s="8"/>
      <c r="K270" s="9"/>
    </row>
    <row r="271">
      <c r="A271" s="9"/>
      <c r="B271" s="9"/>
      <c r="C271" s="9"/>
      <c r="D271" s="9"/>
      <c r="E271" s="9"/>
      <c r="F271" s="10"/>
      <c r="G271" s="10"/>
      <c r="H271" s="9"/>
      <c r="I271" s="9"/>
      <c r="J271" s="8"/>
      <c r="K271" s="9"/>
    </row>
    <row r="272">
      <c r="A272" s="9"/>
      <c r="B272" s="9"/>
      <c r="C272" s="9"/>
      <c r="D272" s="9"/>
      <c r="E272" s="9"/>
      <c r="F272" s="10"/>
      <c r="G272" s="10"/>
      <c r="H272" s="9"/>
      <c r="I272" s="9"/>
      <c r="J272" s="8"/>
      <c r="K272" s="9"/>
    </row>
    <row r="273">
      <c r="A273" s="9"/>
      <c r="B273" s="9"/>
      <c r="C273" s="9"/>
      <c r="D273" s="9"/>
      <c r="E273" s="9"/>
      <c r="F273" s="10"/>
      <c r="G273" s="10"/>
      <c r="H273" s="9"/>
      <c r="I273" s="9"/>
      <c r="J273" s="8"/>
      <c r="K273" s="9"/>
    </row>
    <row r="274">
      <c r="A274" s="9"/>
      <c r="B274" s="9"/>
      <c r="C274" s="9"/>
      <c r="D274" s="9"/>
      <c r="E274" s="9"/>
      <c r="F274" s="10"/>
      <c r="G274" s="10"/>
      <c r="H274" s="9"/>
      <c r="I274" s="9"/>
      <c r="J274" s="8"/>
      <c r="K274" s="9"/>
    </row>
    <row r="275">
      <c r="A275" s="9"/>
      <c r="B275" s="9"/>
      <c r="C275" s="9"/>
      <c r="D275" s="9"/>
      <c r="E275" s="9"/>
      <c r="F275" s="10"/>
      <c r="G275" s="10"/>
      <c r="H275" s="9"/>
      <c r="I275" s="9"/>
      <c r="J275" s="8"/>
      <c r="K275" s="9"/>
    </row>
    <row r="276">
      <c r="A276" s="9"/>
      <c r="B276" s="9"/>
      <c r="C276" s="9"/>
      <c r="D276" s="9"/>
      <c r="E276" s="9"/>
      <c r="F276" s="10"/>
      <c r="G276" s="10"/>
      <c r="H276" s="9"/>
      <c r="I276" s="9"/>
      <c r="J276" s="8"/>
      <c r="K276" s="9"/>
    </row>
    <row r="277">
      <c r="A277" s="9"/>
      <c r="B277" s="9"/>
      <c r="C277" s="9"/>
      <c r="D277" s="9"/>
      <c r="E277" s="9"/>
      <c r="F277" s="10"/>
      <c r="G277" s="10"/>
      <c r="H277" s="9"/>
      <c r="I277" s="9"/>
      <c r="J277" s="8"/>
      <c r="K277" s="9"/>
    </row>
    <row r="278">
      <c r="A278" s="9"/>
      <c r="B278" s="9"/>
      <c r="C278" s="9"/>
      <c r="D278" s="9"/>
      <c r="E278" s="9"/>
      <c r="F278" s="10"/>
      <c r="G278" s="10"/>
      <c r="H278" s="9"/>
      <c r="I278" s="9"/>
      <c r="J278" s="8"/>
      <c r="K278" s="9"/>
    </row>
    <row r="279">
      <c r="A279" s="9"/>
      <c r="B279" s="9"/>
      <c r="C279" s="9"/>
      <c r="D279" s="9"/>
      <c r="E279" s="9"/>
      <c r="F279" s="10"/>
      <c r="G279" s="10"/>
      <c r="H279" s="9"/>
      <c r="I279" s="9"/>
      <c r="J279" s="8"/>
      <c r="K279" s="9"/>
    </row>
    <row r="280">
      <c r="A280" s="9"/>
      <c r="B280" s="9"/>
      <c r="C280" s="9"/>
      <c r="D280" s="9"/>
      <c r="E280" s="9"/>
      <c r="F280" s="10"/>
      <c r="G280" s="10"/>
      <c r="H280" s="9"/>
      <c r="I280" s="9"/>
      <c r="J280" s="8"/>
      <c r="K280" s="9"/>
    </row>
    <row r="281">
      <c r="A281" s="9"/>
      <c r="B281" s="9"/>
      <c r="C281" s="9"/>
      <c r="D281" s="9"/>
      <c r="E281" s="9"/>
      <c r="F281" s="10"/>
      <c r="G281" s="10"/>
      <c r="H281" s="9"/>
      <c r="I281" s="9"/>
      <c r="J281" s="8"/>
      <c r="K281" s="9"/>
    </row>
    <row r="282">
      <c r="A282" s="9"/>
      <c r="B282" s="9"/>
      <c r="C282" s="9"/>
      <c r="D282" s="9"/>
      <c r="E282" s="9"/>
      <c r="F282" s="10"/>
      <c r="G282" s="10"/>
      <c r="H282" s="9"/>
      <c r="I282" s="9"/>
      <c r="J282" s="8"/>
      <c r="K282" s="9"/>
    </row>
    <row r="283">
      <c r="A283" s="9"/>
      <c r="B283" s="9"/>
      <c r="C283" s="9"/>
      <c r="D283" s="9"/>
      <c r="E283" s="9"/>
      <c r="F283" s="10"/>
      <c r="G283" s="10"/>
      <c r="H283" s="9"/>
      <c r="I283" s="9"/>
      <c r="J283" s="8"/>
      <c r="K283" s="9"/>
    </row>
    <row r="284">
      <c r="A284" s="9"/>
      <c r="B284" s="9"/>
      <c r="C284" s="9"/>
      <c r="D284" s="9"/>
      <c r="E284" s="9"/>
      <c r="F284" s="10"/>
      <c r="G284" s="10"/>
      <c r="H284" s="9"/>
      <c r="I284" s="9"/>
      <c r="J284" s="8"/>
      <c r="K284" s="9"/>
    </row>
    <row r="285">
      <c r="A285" s="9"/>
      <c r="B285" s="9"/>
      <c r="C285" s="9"/>
      <c r="D285" s="9"/>
      <c r="E285" s="9"/>
      <c r="F285" s="10"/>
      <c r="G285" s="10"/>
      <c r="H285" s="9"/>
      <c r="I285" s="9"/>
      <c r="J285" s="8"/>
      <c r="K285" s="9"/>
    </row>
    <row r="286">
      <c r="A286" s="9"/>
      <c r="B286" s="9"/>
      <c r="C286" s="9"/>
      <c r="D286" s="9"/>
      <c r="E286" s="9"/>
      <c r="F286" s="10"/>
      <c r="G286" s="10"/>
      <c r="H286" s="9"/>
      <c r="I286" s="9"/>
      <c r="J286" s="8"/>
      <c r="K286" s="9"/>
    </row>
    <row r="287">
      <c r="A287" s="9"/>
      <c r="B287" s="9"/>
      <c r="C287" s="9"/>
      <c r="D287" s="9"/>
      <c r="E287" s="9"/>
      <c r="F287" s="10"/>
      <c r="G287" s="10"/>
      <c r="H287" s="9"/>
      <c r="I287" s="9"/>
      <c r="J287" s="8"/>
      <c r="K287" s="9"/>
    </row>
    <row r="288">
      <c r="A288" s="9"/>
      <c r="B288" s="9"/>
      <c r="C288" s="9"/>
      <c r="D288" s="9"/>
      <c r="E288" s="9"/>
      <c r="F288" s="10"/>
      <c r="G288" s="10"/>
      <c r="H288" s="9"/>
      <c r="I288" s="9"/>
      <c r="J288" s="8"/>
      <c r="K288" s="9"/>
    </row>
    <row r="289">
      <c r="A289" s="9"/>
      <c r="B289" s="9"/>
      <c r="C289" s="9"/>
      <c r="D289" s="9"/>
      <c r="E289" s="9"/>
      <c r="F289" s="10"/>
      <c r="G289" s="10"/>
      <c r="H289" s="9"/>
      <c r="I289" s="9"/>
      <c r="J289" s="8"/>
      <c r="K289" s="9"/>
    </row>
    <row r="290">
      <c r="A290" s="9"/>
      <c r="B290" s="9"/>
      <c r="C290" s="9"/>
      <c r="D290" s="9"/>
      <c r="E290" s="9"/>
      <c r="F290" s="10"/>
      <c r="G290" s="10"/>
      <c r="H290" s="9"/>
      <c r="I290" s="9"/>
      <c r="J290" s="8"/>
      <c r="K290" s="9"/>
    </row>
    <row r="291">
      <c r="A291" s="9"/>
      <c r="B291" s="9"/>
      <c r="C291" s="9"/>
      <c r="D291" s="9"/>
      <c r="E291" s="9"/>
      <c r="F291" s="10"/>
      <c r="G291" s="10"/>
      <c r="H291" s="9"/>
      <c r="I291" s="9"/>
      <c r="J291" s="8"/>
      <c r="K291" s="9"/>
    </row>
    <row r="292">
      <c r="A292" s="9"/>
      <c r="B292" s="9"/>
      <c r="C292" s="9"/>
      <c r="D292" s="9"/>
      <c r="E292" s="9"/>
      <c r="F292" s="10"/>
      <c r="G292" s="10"/>
      <c r="H292" s="9"/>
      <c r="I292" s="9"/>
      <c r="J292" s="8"/>
      <c r="K292" s="9"/>
    </row>
    <row r="293">
      <c r="A293" s="9"/>
      <c r="B293" s="9"/>
      <c r="C293" s="9"/>
      <c r="D293" s="9"/>
      <c r="E293" s="9"/>
      <c r="F293" s="10"/>
      <c r="G293" s="10"/>
      <c r="H293" s="9"/>
      <c r="I293" s="9"/>
      <c r="J293" s="8"/>
      <c r="K293" s="9"/>
    </row>
    <row r="294">
      <c r="A294" s="9"/>
      <c r="B294" s="9"/>
      <c r="C294" s="9"/>
      <c r="D294" s="9"/>
      <c r="E294" s="9"/>
      <c r="F294" s="10"/>
      <c r="G294" s="10"/>
      <c r="H294" s="9"/>
      <c r="I294" s="9"/>
      <c r="J294" s="8"/>
      <c r="K294" s="9"/>
    </row>
    <row r="295">
      <c r="A295" s="9"/>
      <c r="B295" s="9"/>
      <c r="C295" s="9"/>
      <c r="D295" s="9"/>
      <c r="E295" s="9"/>
      <c r="F295" s="10"/>
      <c r="G295" s="10"/>
      <c r="H295" s="9"/>
      <c r="I295" s="9"/>
      <c r="J295" s="8"/>
      <c r="K295" s="9"/>
    </row>
    <row r="296">
      <c r="A296" s="9"/>
      <c r="B296" s="9"/>
      <c r="C296" s="9"/>
      <c r="D296" s="9"/>
      <c r="E296" s="9"/>
      <c r="F296" s="10"/>
      <c r="G296" s="10"/>
      <c r="H296" s="9"/>
      <c r="I296" s="9"/>
      <c r="J296" s="8"/>
      <c r="K296" s="9"/>
    </row>
    <row r="297">
      <c r="A297" s="9"/>
      <c r="B297" s="9"/>
      <c r="C297" s="9"/>
      <c r="D297" s="9"/>
      <c r="E297" s="9"/>
      <c r="F297" s="10"/>
      <c r="G297" s="10"/>
      <c r="H297" s="9"/>
      <c r="I297" s="9"/>
      <c r="J297" s="8"/>
      <c r="K297" s="9"/>
    </row>
    <row r="298">
      <c r="A298" s="9"/>
      <c r="B298" s="9"/>
      <c r="C298" s="9"/>
      <c r="D298" s="9"/>
      <c r="E298" s="9"/>
      <c r="F298" s="10"/>
      <c r="G298" s="10"/>
      <c r="H298" s="9"/>
      <c r="I298" s="9"/>
      <c r="J298" s="8"/>
      <c r="K298" s="9"/>
    </row>
    <row r="299">
      <c r="A299" s="9"/>
      <c r="B299" s="9"/>
      <c r="C299" s="9"/>
      <c r="D299" s="9"/>
      <c r="E299" s="9"/>
      <c r="F299" s="10"/>
      <c r="G299" s="10"/>
      <c r="H299" s="9"/>
      <c r="I299" s="9"/>
      <c r="J299" s="8"/>
      <c r="K299" s="9"/>
    </row>
    <row r="300">
      <c r="A300" s="9"/>
      <c r="B300" s="9"/>
      <c r="C300" s="9"/>
      <c r="D300" s="9"/>
      <c r="E300" s="9"/>
      <c r="F300" s="10"/>
      <c r="G300" s="10"/>
      <c r="H300" s="9"/>
      <c r="I300" s="9"/>
      <c r="J300" s="8"/>
      <c r="K300" s="9"/>
    </row>
    <row r="301">
      <c r="A301" s="9"/>
      <c r="B301" s="9"/>
      <c r="C301" s="9"/>
      <c r="D301" s="9"/>
      <c r="E301" s="9"/>
      <c r="F301" s="10"/>
      <c r="G301" s="10"/>
      <c r="H301" s="9"/>
      <c r="I301" s="9"/>
      <c r="J301" s="8"/>
      <c r="K301" s="9"/>
    </row>
    <row r="302">
      <c r="A302" s="9"/>
      <c r="B302" s="9"/>
      <c r="C302" s="9"/>
      <c r="D302" s="9"/>
      <c r="E302" s="9"/>
      <c r="F302" s="10"/>
      <c r="G302" s="10"/>
      <c r="H302" s="9"/>
      <c r="I302" s="9"/>
      <c r="J302" s="8"/>
      <c r="K302" s="9"/>
    </row>
    <row r="303">
      <c r="A303" s="9"/>
      <c r="B303" s="9"/>
      <c r="C303" s="9"/>
      <c r="D303" s="9"/>
      <c r="E303" s="9"/>
      <c r="F303" s="10"/>
      <c r="G303" s="10"/>
      <c r="H303" s="9"/>
      <c r="I303" s="9"/>
      <c r="J303" s="8"/>
      <c r="K303" s="9"/>
    </row>
    <row r="304">
      <c r="A304" s="9"/>
      <c r="B304" s="9"/>
      <c r="C304" s="9"/>
      <c r="D304" s="9"/>
      <c r="E304" s="9"/>
      <c r="F304" s="10"/>
      <c r="G304" s="10"/>
      <c r="H304" s="9"/>
      <c r="I304" s="9"/>
      <c r="J304" s="8"/>
      <c r="K304" s="9"/>
    </row>
    <row r="305">
      <c r="A305" s="9"/>
      <c r="B305" s="9"/>
      <c r="C305" s="9"/>
      <c r="D305" s="9"/>
      <c r="E305" s="9"/>
      <c r="F305" s="10"/>
      <c r="G305" s="10"/>
      <c r="H305" s="9"/>
      <c r="I305" s="9"/>
      <c r="J305" s="8"/>
      <c r="K305" s="9"/>
    </row>
    <row r="306">
      <c r="A306" s="9"/>
      <c r="B306" s="9"/>
      <c r="C306" s="9"/>
      <c r="D306" s="9"/>
      <c r="E306" s="9"/>
      <c r="F306" s="10"/>
      <c r="G306" s="10"/>
      <c r="H306" s="9"/>
      <c r="I306" s="9"/>
      <c r="J306" s="8"/>
      <c r="K306" s="9"/>
    </row>
    <row r="307">
      <c r="A307" s="9"/>
      <c r="B307" s="9"/>
      <c r="C307" s="9"/>
      <c r="D307" s="9"/>
      <c r="E307" s="9"/>
      <c r="F307" s="10"/>
      <c r="G307" s="10"/>
      <c r="H307" s="9"/>
      <c r="I307" s="9"/>
      <c r="J307" s="8"/>
      <c r="K307" s="9"/>
    </row>
    <row r="308">
      <c r="A308" s="9"/>
      <c r="B308" s="9"/>
      <c r="C308" s="9"/>
      <c r="D308" s="9"/>
      <c r="E308" s="9"/>
      <c r="F308" s="10"/>
      <c r="G308" s="10"/>
      <c r="H308" s="9"/>
      <c r="I308" s="9"/>
      <c r="J308" s="8"/>
      <c r="K308" s="9"/>
    </row>
    <row r="309">
      <c r="A309" s="9"/>
      <c r="B309" s="9"/>
      <c r="C309" s="9"/>
      <c r="D309" s="9"/>
      <c r="E309" s="9"/>
      <c r="F309" s="10"/>
      <c r="G309" s="10"/>
      <c r="H309" s="9"/>
      <c r="I309" s="9"/>
      <c r="J309" s="8"/>
      <c r="K309" s="9"/>
    </row>
    <row r="310">
      <c r="A310" s="9"/>
      <c r="B310" s="9"/>
      <c r="C310" s="9"/>
      <c r="D310" s="9"/>
      <c r="E310" s="9"/>
      <c r="F310" s="10"/>
      <c r="G310" s="10"/>
      <c r="H310" s="9"/>
      <c r="I310" s="9"/>
      <c r="J310" s="8"/>
      <c r="K310" s="9"/>
    </row>
    <row r="311">
      <c r="A311" s="9"/>
      <c r="B311" s="9"/>
      <c r="C311" s="9"/>
      <c r="D311" s="9"/>
      <c r="E311" s="9"/>
      <c r="F311" s="10"/>
      <c r="G311" s="10"/>
      <c r="H311" s="9"/>
      <c r="I311" s="9"/>
      <c r="J311" s="8"/>
      <c r="K311" s="9"/>
    </row>
    <row r="312">
      <c r="A312" s="9"/>
      <c r="B312" s="9"/>
      <c r="C312" s="9"/>
      <c r="D312" s="9"/>
      <c r="E312" s="9"/>
      <c r="F312" s="10"/>
      <c r="G312" s="10"/>
      <c r="H312" s="9"/>
      <c r="I312" s="9"/>
      <c r="J312" s="8"/>
      <c r="K312" s="9"/>
    </row>
    <row r="313">
      <c r="A313" s="9"/>
      <c r="B313" s="9"/>
      <c r="C313" s="9"/>
      <c r="D313" s="9"/>
      <c r="E313" s="9"/>
      <c r="F313" s="10"/>
      <c r="G313" s="10"/>
      <c r="H313" s="9"/>
      <c r="I313" s="9"/>
      <c r="J313" s="8"/>
      <c r="K313" s="9"/>
    </row>
    <row r="314">
      <c r="A314" s="9"/>
      <c r="B314" s="9"/>
      <c r="C314" s="9"/>
      <c r="D314" s="9"/>
      <c r="E314" s="9"/>
      <c r="F314" s="10"/>
      <c r="G314" s="10"/>
      <c r="H314" s="9"/>
      <c r="I314" s="9"/>
      <c r="J314" s="8"/>
      <c r="K314" s="9"/>
    </row>
    <row r="315">
      <c r="A315" s="9"/>
      <c r="B315" s="9"/>
      <c r="C315" s="9"/>
      <c r="D315" s="9"/>
      <c r="E315" s="9"/>
      <c r="F315" s="10"/>
      <c r="G315" s="10"/>
      <c r="H315" s="9"/>
      <c r="I315" s="9"/>
      <c r="J315" s="8"/>
      <c r="K315" s="9"/>
    </row>
    <row r="316">
      <c r="A316" s="9"/>
      <c r="B316" s="9"/>
      <c r="C316" s="9"/>
      <c r="D316" s="9"/>
      <c r="E316" s="9"/>
      <c r="F316" s="10"/>
      <c r="G316" s="10"/>
      <c r="H316" s="9"/>
      <c r="I316" s="9"/>
      <c r="J316" s="8"/>
      <c r="K316" s="9"/>
    </row>
    <row r="317">
      <c r="A317" s="9"/>
      <c r="B317" s="9"/>
      <c r="C317" s="9"/>
      <c r="D317" s="9"/>
      <c r="E317" s="9"/>
      <c r="F317" s="10"/>
      <c r="G317" s="10"/>
      <c r="H317" s="9"/>
      <c r="I317" s="9"/>
      <c r="J317" s="8"/>
      <c r="K317" s="9"/>
    </row>
    <row r="318">
      <c r="A318" s="9"/>
      <c r="B318" s="9"/>
      <c r="C318" s="9"/>
      <c r="D318" s="9"/>
      <c r="E318" s="9"/>
      <c r="F318" s="10"/>
      <c r="G318" s="10"/>
      <c r="H318" s="9"/>
      <c r="I318" s="9"/>
      <c r="J318" s="8"/>
      <c r="K318" s="9"/>
    </row>
    <row r="319">
      <c r="A319" s="9"/>
      <c r="B319" s="9"/>
      <c r="C319" s="9"/>
      <c r="D319" s="9"/>
      <c r="E319" s="9"/>
      <c r="F319" s="10"/>
      <c r="G319" s="10"/>
      <c r="H319" s="9"/>
      <c r="I319" s="9"/>
      <c r="J319" s="8"/>
      <c r="K319" s="9"/>
    </row>
    <row r="320">
      <c r="A320" s="9"/>
      <c r="B320" s="9"/>
      <c r="C320" s="9"/>
      <c r="D320" s="9"/>
      <c r="E320" s="9"/>
      <c r="F320" s="10"/>
      <c r="G320" s="10"/>
      <c r="H320" s="9"/>
      <c r="I320" s="9"/>
      <c r="J320" s="8"/>
      <c r="K320" s="9"/>
    </row>
    <row r="321">
      <c r="A321" s="9"/>
      <c r="B321" s="9"/>
      <c r="C321" s="9"/>
      <c r="D321" s="9"/>
      <c r="E321" s="9"/>
      <c r="F321" s="10"/>
      <c r="G321" s="10"/>
      <c r="H321" s="9"/>
      <c r="I321" s="9"/>
      <c r="J321" s="8"/>
      <c r="K321" s="9"/>
    </row>
    <row r="322">
      <c r="A322" s="9"/>
      <c r="B322" s="9"/>
      <c r="C322" s="9"/>
      <c r="D322" s="9"/>
      <c r="E322" s="9"/>
      <c r="F322" s="10"/>
      <c r="G322" s="10"/>
      <c r="H322" s="9"/>
      <c r="I322" s="9"/>
      <c r="J322" s="8"/>
      <c r="K322" s="9"/>
    </row>
    <row r="323">
      <c r="A323" s="9"/>
      <c r="B323" s="9"/>
      <c r="C323" s="9"/>
      <c r="D323" s="9"/>
      <c r="E323" s="9"/>
      <c r="F323" s="10"/>
      <c r="G323" s="10"/>
      <c r="H323" s="9"/>
      <c r="I323" s="9"/>
      <c r="J323" s="8"/>
      <c r="K323" s="9"/>
    </row>
    <row r="324">
      <c r="A324" s="9"/>
      <c r="B324" s="9"/>
      <c r="C324" s="9"/>
      <c r="D324" s="9"/>
      <c r="E324" s="9"/>
      <c r="F324" s="10"/>
      <c r="G324" s="10"/>
      <c r="H324" s="9"/>
      <c r="I324" s="9"/>
      <c r="J324" s="8"/>
      <c r="K324" s="9"/>
    </row>
    <row r="325">
      <c r="A325" s="9"/>
      <c r="B325" s="9"/>
      <c r="C325" s="9"/>
      <c r="D325" s="9"/>
      <c r="E325" s="9"/>
      <c r="F325" s="10"/>
      <c r="G325" s="10"/>
      <c r="H325" s="9"/>
      <c r="I325" s="9"/>
      <c r="J325" s="8"/>
      <c r="K325" s="9"/>
    </row>
    <row r="326">
      <c r="A326" s="9"/>
      <c r="B326" s="9"/>
      <c r="C326" s="9"/>
      <c r="D326" s="9"/>
      <c r="E326" s="9"/>
      <c r="F326" s="10"/>
      <c r="G326" s="10"/>
      <c r="H326" s="9"/>
      <c r="I326" s="9"/>
      <c r="J326" s="8"/>
      <c r="K326" s="9"/>
    </row>
    <row r="327">
      <c r="A327" s="9"/>
      <c r="B327" s="9"/>
      <c r="C327" s="9"/>
      <c r="D327" s="9"/>
      <c r="E327" s="9"/>
      <c r="F327" s="10"/>
      <c r="G327" s="10"/>
      <c r="H327" s="9"/>
      <c r="I327" s="9"/>
      <c r="J327" s="8"/>
      <c r="K327" s="9"/>
    </row>
    <row r="328">
      <c r="A328" s="9"/>
      <c r="B328" s="9"/>
      <c r="C328" s="9"/>
      <c r="D328" s="9"/>
      <c r="E328" s="9"/>
      <c r="F328" s="10"/>
      <c r="G328" s="10"/>
      <c r="H328" s="9"/>
      <c r="I328" s="9"/>
      <c r="J328" s="8"/>
      <c r="K328" s="9"/>
    </row>
    <row r="329">
      <c r="A329" s="9"/>
      <c r="B329" s="9"/>
      <c r="C329" s="9"/>
      <c r="D329" s="9"/>
      <c r="E329" s="9"/>
      <c r="F329" s="10"/>
      <c r="G329" s="10"/>
      <c r="H329" s="9"/>
      <c r="I329" s="9"/>
      <c r="J329" s="8"/>
      <c r="K329" s="9"/>
    </row>
    <row r="330">
      <c r="A330" s="9"/>
      <c r="B330" s="9"/>
      <c r="C330" s="9"/>
      <c r="D330" s="9"/>
      <c r="E330" s="9"/>
      <c r="F330" s="10"/>
      <c r="G330" s="10"/>
      <c r="H330" s="9"/>
      <c r="I330" s="9"/>
      <c r="J330" s="8"/>
      <c r="K330" s="9"/>
    </row>
    <row r="331">
      <c r="A331" s="9"/>
      <c r="B331" s="9"/>
      <c r="C331" s="9"/>
      <c r="D331" s="9"/>
      <c r="E331" s="9"/>
      <c r="F331" s="10"/>
      <c r="G331" s="10"/>
      <c r="H331" s="9"/>
      <c r="I331" s="9"/>
      <c r="J331" s="8"/>
      <c r="K331" s="9"/>
    </row>
    <row r="332">
      <c r="A332" s="9"/>
      <c r="B332" s="9"/>
      <c r="C332" s="9"/>
      <c r="D332" s="9"/>
      <c r="E332" s="9"/>
      <c r="F332" s="10"/>
      <c r="G332" s="10"/>
      <c r="H332" s="9"/>
      <c r="I332" s="9"/>
      <c r="J332" s="8"/>
      <c r="K332" s="9"/>
    </row>
    <row r="333">
      <c r="A333" s="9"/>
      <c r="B333" s="9"/>
      <c r="C333" s="9"/>
      <c r="D333" s="9"/>
      <c r="E333" s="9"/>
      <c r="F333" s="10"/>
      <c r="G333" s="10"/>
      <c r="H333" s="9"/>
      <c r="I333" s="9"/>
      <c r="J333" s="8"/>
      <c r="K333" s="9"/>
    </row>
    <row r="334">
      <c r="A334" s="9"/>
      <c r="B334" s="9"/>
      <c r="C334" s="9"/>
      <c r="D334" s="9"/>
      <c r="E334" s="9"/>
      <c r="F334" s="10"/>
      <c r="G334" s="10"/>
      <c r="H334" s="9"/>
      <c r="I334" s="9"/>
      <c r="J334" s="8"/>
      <c r="K334" s="9"/>
    </row>
    <row r="335">
      <c r="A335" s="9"/>
      <c r="B335" s="9"/>
      <c r="C335" s="9"/>
      <c r="D335" s="9"/>
      <c r="E335" s="9"/>
      <c r="F335" s="10"/>
      <c r="G335" s="10"/>
      <c r="H335" s="9"/>
      <c r="I335" s="9"/>
      <c r="J335" s="8"/>
      <c r="K335" s="9"/>
    </row>
    <row r="336">
      <c r="A336" s="9"/>
      <c r="B336" s="9"/>
      <c r="C336" s="9"/>
      <c r="D336" s="9"/>
      <c r="E336" s="9"/>
      <c r="F336" s="10"/>
      <c r="G336" s="10"/>
      <c r="H336" s="9"/>
      <c r="I336" s="9"/>
      <c r="J336" s="8"/>
      <c r="K336" s="9"/>
    </row>
    <row r="337">
      <c r="A337" s="9"/>
      <c r="B337" s="9"/>
      <c r="C337" s="9"/>
      <c r="D337" s="9"/>
      <c r="E337" s="9"/>
      <c r="F337" s="10"/>
      <c r="G337" s="10"/>
      <c r="H337" s="9"/>
      <c r="I337" s="9"/>
      <c r="J337" s="8"/>
      <c r="K337" s="9"/>
    </row>
    <row r="338">
      <c r="A338" s="9"/>
      <c r="B338" s="9"/>
      <c r="C338" s="9"/>
      <c r="D338" s="9"/>
      <c r="E338" s="9"/>
      <c r="F338" s="10"/>
      <c r="G338" s="10"/>
      <c r="H338" s="9"/>
      <c r="I338" s="9"/>
      <c r="J338" s="8"/>
      <c r="K338" s="9"/>
    </row>
    <row r="339">
      <c r="A339" s="9"/>
      <c r="B339" s="9"/>
      <c r="C339" s="9"/>
      <c r="D339" s="9"/>
      <c r="E339" s="9"/>
      <c r="F339" s="10"/>
      <c r="G339" s="10"/>
      <c r="H339" s="9"/>
      <c r="I339" s="9"/>
      <c r="J339" s="8"/>
      <c r="K339" s="9"/>
    </row>
    <row r="340">
      <c r="A340" s="9"/>
      <c r="B340" s="9"/>
      <c r="C340" s="9"/>
      <c r="D340" s="9"/>
      <c r="E340" s="9"/>
      <c r="F340" s="10"/>
      <c r="G340" s="10"/>
      <c r="H340" s="9"/>
      <c r="I340" s="9"/>
      <c r="J340" s="8"/>
      <c r="K340" s="9"/>
    </row>
    <row r="341">
      <c r="A341" s="9"/>
      <c r="B341" s="9"/>
      <c r="C341" s="9"/>
      <c r="D341" s="9"/>
      <c r="E341" s="9"/>
      <c r="F341" s="10"/>
      <c r="G341" s="10"/>
      <c r="H341" s="9"/>
      <c r="I341" s="9"/>
      <c r="J341" s="8"/>
      <c r="K341" s="9"/>
    </row>
    <row r="342">
      <c r="A342" s="9"/>
      <c r="B342" s="9"/>
      <c r="C342" s="9"/>
      <c r="D342" s="9"/>
      <c r="E342" s="9"/>
      <c r="F342" s="10"/>
      <c r="G342" s="10"/>
      <c r="H342" s="9"/>
      <c r="I342" s="9"/>
      <c r="J342" s="8"/>
      <c r="K342" s="9"/>
    </row>
    <row r="343">
      <c r="A343" s="9"/>
      <c r="B343" s="9"/>
      <c r="C343" s="9"/>
      <c r="D343" s="9"/>
      <c r="E343" s="9"/>
      <c r="F343" s="10"/>
      <c r="G343" s="10"/>
      <c r="H343" s="9"/>
      <c r="I343" s="9"/>
      <c r="J343" s="8"/>
      <c r="K343" s="9"/>
    </row>
    <row r="344">
      <c r="A344" s="9"/>
      <c r="B344" s="9"/>
      <c r="C344" s="9"/>
      <c r="D344" s="9"/>
      <c r="E344" s="9"/>
      <c r="F344" s="10"/>
      <c r="G344" s="10"/>
      <c r="H344" s="9"/>
      <c r="I344" s="9"/>
      <c r="J344" s="8"/>
      <c r="K344" s="9"/>
    </row>
    <row r="345">
      <c r="A345" s="9"/>
      <c r="B345" s="9"/>
      <c r="C345" s="9"/>
      <c r="D345" s="9"/>
      <c r="E345" s="9"/>
      <c r="F345" s="10"/>
      <c r="G345" s="10"/>
      <c r="H345" s="9"/>
      <c r="I345" s="9"/>
      <c r="J345" s="8"/>
      <c r="K345" s="9"/>
    </row>
    <row r="346">
      <c r="A346" s="9"/>
      <c r="B346" s="9"/>
      <c r="C346" s="9"/>
      <c r="D346" s="9"/>
      <c r="E346" s="9"/>
      <c r="F346" s="10"/>
      <c r="G346" s="10"/>
      <c r="H346" s="9"/>
      <c r="I346" s="9"/>
      <c r="J346" s="8"/>
      <c r="K346" s="9"/>
    </row>
    <row r="347">
      <c r="A347" s="9"/>
      <c r="B347" s="9"/>
      <c r="C347" s="9"/>
      <c r="D347" s="9"/>
      <c r="E347" s="9"/>
      <c r="F347" s="10"/>
      <c r="G347" s="10"/>
      <c r="H347" s="9"/>
      <c r="I347" s="9"/>
      <c r="J347" s="8"/>
      <c r="K347" s="9"/>
    </row>
    <row r="348">
      <c r="A348" s="9"/>
      <c r="B348" s="9"/>
      <c r="C348" s="9"/>
      <c r="D348" s="9"/>
      <c r="E348" s="9"/>
      <c r="F348" s="10"/>
      <c r="G348" s="10"/>
      <c r="H348" s="9"/>
      <c r="I348" s="9"/>
      <c r="J348" s="8"/>
      <c r="K348" s="9"/>
    </row>
    <row r="349">
      <c r="A349" s="9"/>
      <c r="B349" s="9"/>
      <c r="C349" s="9"/>
      <c r="D349" s="9"/>
      <c r="E349" s="9"/>
      <c r="F349" s="10"/>
      <c r="G349" s="10"/>
      <c r="H349" s="9"/>
      <c r="I349" s="9"/>
      <c r="J349" s="8"/>
      <c r="K349" s="9"/>
    </row>
    <row r="350">
      <c r="A350" s="9"/>
      <c r="B350" s="9"/>
      <c r="C350" s="9"/>
      <c r="D350" s="9"/>
      <c r="E350" s="9"/>
      <c r="F350" s="10"/>
      <c r="G350" s="10"/>
      <c r="H350" s="9"/>
      <c r="I350" s="9"/>
      <c r="J350" s="8"/>
      <c r="K350" s="9"/>
    </row>
    <row r="351">
      <c r="A351" s="9"/>
      <c r="B351" s="9"/>
      <c r="C351" s="9"/>
      <c r="D351" s="9"/>
      <c r="E351" s="9"/>
      <c r="F351" s="10"/>
      <c r="G351" s="10"/>
      <c r="H351" s="9"/>
      <c r="I351" s="9"/>
      <c r="J351" s="8"/>
      <c r="K351" s="9"/>
    </row>
    <row r="352">
      <c r="A352" s="9"/>
      <c r="B352" s="9"/>
      <c r="C352" s="9"/>
      <c r="D352" s="9"/>
      <c r="E352" s="9"/>
      <c r="F352" s="10"/>
      <c r="G352" s="10"/>
      <c r="H352" s="9"/>
      <c r="I352" s="9"/>
      <c r="J352" s="8"/>
      <c r="K352" s="9"/>
    </row>
    <row r="353">
      <c r="A353" s="9"/>
      <c r="B353" s="9"/>
      <c r="C353" s="9"/>
      <c r="D353" s="9"/>
      <c r="E353" s="9"/>
      <c r="F353" s="10"/>
      <c r="G353" s="10"/>
      <c r="H353" s="9"/>
      <c r="I353" s="9"/>
      <c r="J353" s="8"/>
      <c r="K353" s="9"/>
    </row>
    <row r="354">
      <c r="A354" s="9"/>
      <c r="B354" s="9"/>
      <c r="C354" s="9"/>
      <c r="D354" s="9"/>
      <c r="E354" s="9"/>
      <c r="F354" s="10"/>
      <c r="G354" s="10"/>
      <c r="H354" s="9"/>
      <c r="I354" s="9"/>
      <c r="J354" s="8"/>
      <c r="K354" s="9"/>
    </row>
    <row r="355">
      <c r="A355" s="9"/>
      <c r="B355" s="9"/>
      <c r="C355" s="9"/>
      <c r="D355" s="9"/>
      <c r="E355" s="9"/>
      <c r="F355" s="10"/>
      <c r="G355" s="10"/>
      <c r="H355" s="9"/>
      <c r="I355" s="9"/>
      <c r="J355" s="8"/>
      <c r="K355" s="9"/>
    </row>
    <row r="356">
      <c r="A356" s="9"/>
      <c r="B356" s="9"/>
      <c r="C356" s="9"/>
      <c r="D356" s="9"/>
      <c r="E356" s="9"/>
      <c r="F356" s="10"/>
      <c r="G356" s="10"/>
      <c r="H356" s="9"/>
      <c r="I356" s="9"/>
      <c r="J356" s="8"/>
      <c r="K356" s="9"/>
    </row>
    <row r="357">
      <c r="A357" s="9"/>
      <c r="B357" s="9"/>
      <c r="C357" s="9"/>
      <c r="D357" s="9"/>
      <c r="E357" s="9"/>
      <c r="F357" s="10"/>
      <c r="G357" s="10"/>
      <c r="H357" s="9"/>
      <c r="I357" s="9"/>
      <c r="J357" s="8"/>
      <c r="K357" s="9"/>
    </row>
    <row r="358">
      <c r="A358" s="9"/>
      <c r="B358" s="9"/>
      <c r="C358" s="9"/>
      <c r="D358" s="9"/>
      <c r="E358" s="9"/>
      <c r="F358" s="10"/>
      <c r="G358" s="10"/>
      <c r="H358" s="9"/>
      <c r="I358" s="9"/>
      <c r="J358" s="8"/>
      <c r="K358" s="9"/>
    </row>
    <row r="359">
      <c r="A359" s="9"/>
      <c r="B359" s="9"/>
      <c r="C359" s="9"/>
      <c r="D359" s="9"/>
      <c r="E359" s="9"/>
      <c r="F359" s="10"/>
      <c r="G359" s="10"/>
      <c r="H359" s="9"/>
      <c r="I359" s="9"/>
      <c r="J359" s="8"/>
      <c r="K359" s="9"/>
    </row>
    <row r="360">
      <c r="A360" s="9"/>
      <c r="B360" s="9"/>
      <c r="C360" s="9"/>
      <c r="D360" s="9"/>
      <c r="E360" s="9"/>
      <c r="F360" s="10"/>
      <c r="G360" s="10"/>
      <c r="H360" s="9"/>
      <c r="I360" s="9"/>
      <c r="J360" s="8"/>
      <c r="K360" s="9"/>
    </row>
    <row r="361">
      <c r="A361" s="9"/>
      <c r="B361" s="9"/>
      <c r="C361" s="9"/>
      <c r="D361" s="9"/>
      <c r="E361" s="9"/>
      <c r="F361" s="10"/>
      <c r="G361" s="10"/>
      <c r="H361" s="9"/>
      <c r="I361" s="9"/>
      <c r="J361" s="8"/>
      <c r="K361" s="9"/>
    </row>
    <row r="362">
      <c r="A362" s="9"/>
      <c r="B362" s="9"/>
      <c r="C362" s="9"/>
      <c r="D362" s="9"/>
      <c r="E362" s="9"/>
      <c r="F362" s="10"/>
      <c r="G362" s="10"/>
      <c r="H362" s="9"/>
      <c r="I362" s="9"/>
      <c r="J362" s="8"/>
      <c r="K362" s="9"/>
    </row>
    <row r="363">
      <c r="A363" s="9"/>
      <c r="B363" s="9"/>
      <c r="C363" s="9"/>
      <c r="D363" s="9"/>
      <c r="E363" s="9"/>
      <c r="F363" s="10"/>
      <c r="G363" s="10"/>
      <c r="H363" s="9"/>
      <c r="I363" s="9"/>
      <c r="J363" s="8"/>
      <c r="K363" s="9"/>
    </row>
    <row r="364">
      <c r="A364" s="9"/>
      <c r="B364" s="9"/>
      <c r="C364" s="9"/>
      <c r="D364" s="9"/>
      <c r="E364" s="9"/>
      <c r="F364" s="10"/>
      <c r="G364" s="10"/>
      <c r="H364" s="9"/>
      <c r="I364" s="9"/>
      <c r="J364" s="8"/>
      <c r="K364" s="9"/>
    </row>
    <row r="365">
      <c r="A365" s="9"/>
      <c r="B365" s="9"/>
      <c r="C365" s="9"/>
      <c r="D365" s="9"/>
      <c r="E365" s="9"/>
      <c r="F365" s="10"/>
      <c r="G365" s="10"/>
      <c r="H365" s="9"/>
      <c r="I365" s="9"/>
      <c r="J365" s="8"/>
      <c r="K365" s="9"/>
    </row>
    <row r="366">
      <c r="A366" s="9"/>
      <c r="B366" s="9"/>
      <c r="C366" s="9"/>
      <c r="D366" s="9"/>
      <c r="E366" s="9"/>
      <c r="F366" s="10"/>
      <c r="G366" s="10"/>
      <c r="H366" s="9"/>
      <c r="I366" s="9"/>
      <c r="J366" s="8"/>
      <c r="K366" s="9"/>
    </row>
    <row r="367">
      <c r="A367" s="9"/>
      <c r="B367" s="9"/>
      <c r="C367" s="9"/>
      <c r="D367" s="9"/>
      <c r="E367" s="9"/>
      <c r="F367" s="10"/>
      <c r="G367" s="10"/>
      <c r="H367" s="9"/>
      <c r="I367" s="9"/>
      <c r="J367" s="8"/>
      <c r="K367" s="9"/>
    </row>
    <row r="368">
      <c r="A368" s="9"/>
      <c r="B368" s="9"/>
      <c r="C368" s="9"/>
      <c r="D368" s="9"/>
      <c r="E368" s="9"/>
      <c r="F368" s="10"/>
      <c r="G368" s="10"/>
      <c r="H368" s="9"/>
      <c r="I368" s="9"/>
      <c r="J368" s="8"/>
      <c r="K368" s="9"/>
    </row>
    <row r="369">
      <c r="A369" s="9"/>
      <c r="B369" s="9"/>
      <c r="C369" s="9"/>
      <c r="D369" s="9"/>
      <c r="E369" s="9"/>
      <c r="F369" s="10"/>
      <c r="G369" s="10"/>
      <c r="H369" s="9"/>
      <c r="I369" s="9"/>
      <c r="J369" s="8"/>
      <c r="K369" s="9"/>
    </row>
    <row r="370">
      <c r="A370" s="9"/>
      <c r="B370" s="9"/>
      <c r="C370" s="9"/>
      <c r="D370" s="9"/>
      <c r="E370" s="9"/>
      <c r="F370" s="10"/>
      <c r="G370" s="10"/>
      <c r="H370" s="9"/>
      <c r="I370" s="9"/>
      <c r="J370" s="8"/>
      <c r="K370" s="9"/>
    </row>
    <row r="371">
      <c r="A371" s="9"/>
      <c r="B371" s="9"/>
      <c r="C371" s="9"/>
      <c r="D371" s="9"/>
      <c r="E371" s="9"/>
      <c r="F371" s="10"/>
      <c r="G371" s="10"/>
      <c r="H371" s="9"/>
      <c r="I371" s="9"/>
      <c r="J371" s="8"/>
      <c r="K371" s="9"/>
    </row>
    <row r="372">
      <c r="A372" s="9"/>
      <c r="B372" s="9"/>
      <c r="C372" s="9"/>
      <c r="D372" s="9"/>
      <c r="E372" s="9"/>
      <c r="F372" s="10"/>
      <c r="G372" s="10"/>
      <c r="H372" s="9"/>
      <c r="I372" s="9"/>
      <c r="J372" s="8"/>
      <c r="K372" s="9"/>
    </row>
    <row r="373">
      <c r="A373" s="9"/>
      <c r="B373" s="9"/>
      <c r="C373" s="9"/>
      <c r="D373" s="9"/>
      <c r="E373" s="9"/>
      <c r="F373" s="10"/>
      <c r="G373" s="10"/>
      <c r="H373" s="9"/>
      <c r="I373" s="9"/>
      <c r="J373" s="8"/>
      <c r="K373" s="9"/>
    </row>
    <row r="374">
      <c r="A374" s="9"/>
      <c r="B374" s="9"/>
      <c r="C374" s="9"/>
      <c r="D374" s="9"/>
      <c r="E374" s="9"/>
      <c r="F374" s="10"/>
      <c r="G374" s="10"/>
      <c r="H374" s="9"/>
      <c r="I374" s="9"/>
      <c r="J374" s="8"/>
      <c r="K374" s="9"/>
    </row>
    <row r="375">
      <c r="A375" s="9"/>
      <c r="B375" s="9"/>
      <c r="C375" s="9"/>
      <c r="D375" s="9"/>
      <c r="E375" s="9"/>
      <c r="F375" s="10"/>
      <c r="G375" s="10"/>
      <c r="H375" s="9"/>
      <c r="I375" s="9"/>
      <c r="J375" s="8"/>
      <c r="K375" s="9"/>
    </row>
    <row r="376">
      <c r="A376" s="9"/>
      <c r="B376" s="9"/>
      <c r="C376" s="9"/>
      <c r="D376" s="9"/>
      <c r="E376" s="9"/>
      <c r="F376" s="10"/>
      <c r="G376" s="10"/>
      <c r="H376" s="9"/>
      <c r="I376" s="9"/>
      <c r="J376" s="8"/>
      <c r="K376" s="9"/>
    </row>
    <row r="377">
      <c r="A377" s="9"/>
      <c r="B377" s="9"/>
      <c r="C377" s="9"/>
      <c r="D377" s="9"/>
      <c r="E377" s="9"/>
      <c r="F377" s="10"/>
      <c r="G377" s="10"/>
      <c r="H377" s="9"/>
      <c r="I377" s="9"/>
      <c r="J377" s="8"/>
      <c r="K377" s="9"/>
    </row>
    <row r="378">
      <c r="A378" s="9"/>
      <c r="B378" s="9"/>
      <c r="C378" s="9"/>
      <c r="D378" s="9"/>
      <c r="E378" s="9"/>
      <c r="F378" s="10"/>
      <c r="G378" s="10"/>
      <c r="H378" s="9"/>
      <c r="I378" s="9"/>
      <c r="J378" s="8"/>
      <c r="K378" s="9"/>
    </row>
    <row r="379">
      <c r="A379" s="9"/>
      <c r="B379" s="9"/>
      <c r="C379" s="9"/>
      <c r="D379" s="9"/>
      <c r="E379" s="9"/>
      <c r="F379" s="10"/>
      <c r="G379" s="10"/>
      <c r="H379" s="9"/>
      <c r="I379" s="9"/>
      <c r="J379" s="8"/>
      <c r="K379" s="9"/>
    </row>
    <row r="380">
      <c r="A380" s="9"/>
      <c r="B380" s="9"/>
      <c r="C380" s="9"/>
      <c r="D380" s="9"/>
      <c r="E380" s="9"/>
      <c r="F380" s="10"/>
      <c r="G380" s="10"/>
      <c r="H380" s="9"/>
      <c r="I380" s="9"/>
      <c r="J380" s="8"/>
      <c r="K380" s="9"/>
    </row>
    <row r="381">
      <c r="A381" s="9"/>
      <c r="B381" s="9"/>
      <c r="C381" s="9"/>
      <c r="D381" s="9"/>
      <c r="E381" s="9"/>
      <c r="F381" s="10"/>
      <c r="G381" s="10"/>
      <c r="H381" s="9"/>
      <c r="I381" s="9"/>
      <c r="J381" s="8"/>
      <c r="K381" s="9"/>
    </row>
    <row r="382">
      <c r="A382" s="9"/>
      <c r="B382" s="9"/>
      <c r="C382" s="9"/>
      <c r="D382" s="9"/>
      <c r="E382" s="9"/>
      <c r="F382" s="10"/>
      <c r="G382" s="10"/>
      <c r="H382" s="9"/>
      <c r="I382" s="9"/>
      <c r="J382" s="8"/>
      <c r="K382" s="9"/>
    </row>
    <row r="383">
      <c r="A383" s="9"/>
      <c r="B383" s="9"/>
      <c r="C383" s="9"/>
      <c r="D383" s="9"/>
      <c r="E383" s="9"/>
      <c r="F383" s="10"/>
      <c r="G383" s="10"/>
      <c r="H383" s="9"/>
      <c r="I383" s="9"/>
      <c r="J383" s="8"/>
      <c r="K383" s="9"/>
    </row>
    <row r="384">
      <c r="A384" s="9"/>
      <c r="B384" s="9"/>
      <c r="C384" s="9"/>
      <c r="D384" s="9"/>
      <c r="E384" s="9"/>
      <c r="F384" s="10"/>
      <c r="G384" s="10"/>
      <c r="H384" s="9"/>
      <c r="I384" s="9"/>
      <c r="J384" s="8"/>
      <c r="K384" s="9"/>
    </row>
    <row r="385">
      <c r="A385" s="9"/>
      <c r="B385" s="9"/>
      <c r="C385" s="9"/>
      <c r="D385" s="9"/>
      <c r="E385" s="9"/>
      <c r="F385" s="10"/>
      <c r="G385" s="10"/>
      <c r="H385" s="9"/>
      <c r="I385" s="9"/>
      <c r="J385" s="8"/>
      <c r="K385" s="9"/>
    </row>
    <row r="386">
      <c r="A386" s="9"/>
      <c r="B386" s="9"/>
      <c r="C386" s="9"/>
      <c r="D386" s="9"/>
      <c r="E386" s="9"/>
      <c r="F386" s="10"/>
      <c r="G386" s="10"/>
      <c r="H386" s="9"/>
      <c r="I386" s="9"/>
      <c r="J386" s="8"/>
      <c r="K386" s="9"/>
    </row>
    <row r="387">
      <c r="A387" s="9"/>
      <c r="B387" s="9"/>
      <c r="C387" s="9"/>
      <c r="D387" s="9"/>
      <c r="E387" s="9"/>
      <c r="F387" s="10"/>
      <c r="G387" s="10"/>
      <c r="H387" s="9"/>
      <c r="I387" s="9"/>
      <c r="J387" s="8"/>
      <c r="K387" s="9"/>
    </row>
    <row r="388">
      <c r="A388" s="9"/>
      <c r="B388" s="9"/>
      <c r="C388" s="9"/>
      <c r="D388" s="9"/>
      <c r="E388" s="9"/>
      <c r="F388" s="10"/>
      <c r="G388" s="10"/>
      <c r="H388" s="9"/>
      <c r="I388" s="9"/>
      <c r="J388" s="8"/>
      <c r="K388" s="9"/>
    </row>
    <row r="389">
      <c r="A389" s="9"/>
      <c r="B389" s="9"/>
      <c r="C389" s="9"/>
      <c r="D389" s="9"/>
      <c r="E389" s="9"/>
      <c r="F389" s="10"/>
      <c r="G389" s="10"/>
      <c r="H389" s="9"/>
      <c r="I389" s="9"/>
      <c r="J389" s="8"/>
      <c r="K389" s="9"/>
    </row>
    <row r="390">
      <c r="A390" s="9"/>
      <c r="B390" s="9"/>
      <c r="C390" s="9"/>
      <c r="D390" s="9"/>
      <c r="E390" s="9"/>
      <c r="F390" s="10"/>
      <c r="G390" s="10"/>
      <c r="H390" s="9"/>
      <c r="I390" s="9"/>
      <c r="J390" s="8"/>
      <c r="K390" s="9"/>
    </row>
    <row r="391">
      <c r="A391" s="9"/>
      <c r="B391" s="9"/>
      <c r="C391" s="9"/>
      <c r="D391" s="9"/>
      <c r="E391" s="9"/>
      <c r="F391" s="10"/>
      <c r="G391" s="10"/>
      <c r="H391" s="9"/>
      <c r="I391" s="9"/>
      <c r="J391" s="8"/>
      <c r="K391" s="9"/>
    </row>
    <row r="392">
      <c r="A392" s="9"/>
      <c r="B392" s="9"/>
      <c r="C392" s="9"/>
      <c r="D392" s="9"/>
      <c r="E392" s="9"/>
      <c r="F392" s="10"/>
      <c r="G392" s="10"/>
      <c r="H392" s="9"/>
      <c r="I392" s="9"/>
      <c r="J392" s="8"/>
      <c r="K392" s="9"/>
    </row>
    <row r="393">
      <c r="A393" s="9"/>
      <c r="B393" s="9"/>
      <c r="C393" s="9"/>
      <c r="D393" s="9"/>
      <c r="E393" s="9"/>
      <c r="F393" s="10"/>
      <c r="G393" s="10"/>
      <c r="H393" s="9"/>
      <c r="I393" s="9"/>
      <c r="J393" s="8"/>
      <c r="K393" s="9"/>
    </row>
    <row r="394">
      <c r="A394" s="9"/>
      <c r="B394" s="9"/>
      <c r="C394" s="9"/>
      <c r="D394" s="9"/>
      <c r="E394" s="9"/>
      <c r="F394" s="10"/>
      <c r="G394" s="10"/>
      <c r="H394" s="9"/>
      <c r="I394" s="9"/>
      <c r="J394" s="8"/>
      <c r="K394" s="9"/>
    </row>
    <row r="395">
      <c r="A395" s="9"/>
      <c r="B395" s="9"/>
      <c r="C395" s="9"/>
      <c r="D395" s="9"/>
      <c r="E395" s="9"/>
      <c r="F395" s="10"/>
      <c r="G395" s="10"/>
      <c r="H395" s="9"/>
      <c r="I395" s="9"/>
      <c r="J395" s="8"/>
      <c r="K395" s="9"/>
    </row>
    <row r="396">
      <c r="A396" s="9"/>
      <c r="B396" s="9"/>
      <c r="C396" s="9"/>
      <c r="D396" s="9"/>
      <c r="E396" s="9"/>
      <c r="F396" s="10"/>
      <c r="G396" s="10"/>
      <c r="H396" s="9"/>
      <c r="I396" s="9"/>
      <c r="J396" s="8"/>
      <c r="K396" s="9"/>
    </row>
    <row r="397">
      <c r="A397" s="9"/>
      <c r="B397" s="9"/>
      <c r="C397" s="9"/>
      <c r="D397" s="9"/>
      <c r="E397" s="9"/>
      <c r="F397" s="10"/>
      <c r="G397" s="10"/>
      <c r="H397" s="9"/>
      <c r="I397" s="9"/>
      <c r="J397" s="8"/>
      <c r="K397" s="9"/>
    </row>
    <row r="398">
      <c r="A398" s="9"/>
      <c r="B398" s="9"/>
      <c r="C398" s="9"/>
      <c r="D398" s="9"/>
      <c r="E398" s="9"/>
      <c r="F398" s="10"/>
      <c r="G398" s="10"/>
      <c r="H398" s="9"/>
      <c r="I398" s="9"/>
      <c r="J398" s="8"/>
      <c r="K398" s="9"/>
    </row>
    <row r="399">
      <c r="A399" s="9"/>
      <c r="B399" s="9"/>
      <c r="C399" s="9"/>
      <c r="D399" s="9"/>
      <c r="E399" s="9"/>
      <c r="F399" s="10"/>
      <c r="G399" s="10"/>
      <c r="H399" s="9"/>
      <c r="I399" s="9"/>
      <c r="J399" s="8"/>
      <c r="K399" s="9"/>
    </row>
    <row r="400">
      <c r="A400" s="9"/>
      <c r="B400" s="9"/>
      <c r="C400" s="9"/>
      <c r="D400" s="9"/>
      <c r="E400" s="9"/>
      <c r="F400" s="10"/>
      <c r="G400" s="10"/>
      <c r="H400" s="9"/>
      <c r="I400" s="9"/>
      <c r="J400" s="8"/>
      <c r="K400" s="9"/>
    </row>
    <row r="401">
      <c r="A401" s="9"/>
      <c r="B401" s="9"/>
      <c r="C401" s="9"/>
      <c r="D401" s="9"/>
      <c r="E401" s="9"/>
      <c r="F401" s="10"/>
      <c r="G401" s="10"/>
      <c r="H401" s="9"/>
      <c r="I401" s="9"/>
      <c r="J401" s="8"/>
      <c r="K401" s="9"/>
    </row>
    <row r="402">
      <c r="A402" s="9"/>
      <c r="B402" s="9"/>
      <c r="C402" s="9"/>
      <c r="D402" s="9"/>
      <c r="E402" s="9"/>
      <c r="F402" s="10"/>
      <c r="G402" s="10"/>
      <c r="H402" s="9"/>
      <c r="I402" s="9"/>
      <c r="J402" s="8"/>
      <c r="K402" s="9"/>
    </row>
    <row r="403">
      <c r="A403" s="9"/>
      <c r="B403" s="9"/>
      <c r="C403" s="9"/>
      <c r="D403" s="9"/>
      <c r="E403" s="9"/>
      <c r="F403" s="10"/>
      <c r="G403" s="10"/>
      <c r="H403" s="9"/>
      <c r="I403" s="9"/>
      <c r="J403" s="8"/>
      <c r="K403" s="9"/>
    </row>
    <row r="404">
      <c r="A404" s="9"/>
      <c r="B404" s="9"/>
      <c r="C404" s="9"/>
      <c r="D404" s="9"/>
      <c r="E404" s="9"/>
      <c r="F404" s="10"/>
      <c r="G404" s="10"/>
      <c r="H404" s="9"/>
      <c r="I404" s="9"/>
      <c r="J404" s="8"/>
      <c r="K404" s="9"/>
    </row>
    <row r="405">
      <c r="A405" s="9"/>
      <c r="B405" s="9"/>
      <c r="C405" s="9"/>
      <c r="D405" s="9"/>
      <c r="E405" s="9"/>
      <c r="F405" s="10"/>
      <c r="G405" s="10"/>
      <c r="H405" s="9"/>
      <c r="I405" s="9"/>
      <c r="J405" s="8"/>
      <c r="K405" s="9"/>
    </row>
    <row r="406">
      <c r="A406" s="9"/>
      <c r="B406" s="9"/>
      <c r="C406" s="9"/>
      <c r="D406" s="9"/>
      <c r="E406" s="9"/>
      <c r="F406" s="10"/>
      <c r="G406" s="10"/>
      <c r="H406" s="9"/>
      <c r="I406" s="9"/>
      <c r="J406" s="8"/>
      <c r="K406" s="9"/>
    </row>
    <row r="407">
      <c r="A407" s="9"/>
      <c r="B407" s="9"/>
      <c r="C407" s="9"/>
      <c r="D407" s="9"/>
      <c r="E407" s="9"/>
      <c r="F407" s="10"/>
      <c r="G407" s="10"/>
      <c r="H407" s="9"/>
      <c r="I407" s="9"/>
      <c r="J407" s="8"/>
      <c r="K407" s="9"/>
    </row>
    <row r="408">
      <c r="A408" s="9"/>
      <c r="B408" s="9"/>
      <c r="C408" s="9"/>
      <c r="D408" s="9"/>
      <c r="E408" s="9"/>
      <c r="F408" s="10"/>
      <c r="G408" s="10"/>
      <c r="H408" s="9"/>
      <c r="I408" s="9"/>
      <c r="J408" s="8"/>
      <c r="K408" s="9"/>
    </row>
    <row r="409">
      <c r="A409" s="9"/>
      <c r="B409" s="9"/>
      <c r="C409" s="9"/>
      <c r="D409" s="9"/>
      <c r="E409" s="9"/>
      <c r="F409" s="10"/>
      <c r="G409" s="10"/>
      <c r="H409" s="9"/>
      <c r="I409" s="9"/>
      <c r="J409" s="8"/>
      <c r="K409" s="9"/>
    </row>
    <row r="410">
      <c r="A410" s="9"/>
      <c r="B410" s="9"/>
      <c r="C410" s="9"/>
      <c r="D410" s="9"/>
      <c r="E410" s="9"/>
      <c r="F410" s="10"/>
      <c r="G410" s="10"/>
      <c r="H410" s="9"/>
      <c r="I410" s="9"/>
      <c r="J410" s="8"/>
      <c r="K410" s="9"/>
    </row>
    <row r="411">
      <c r="A411" s="9"/>
      <c r="B411" s="9"/>
      <c r="C411" s="9"/>
      <c r="D411" s="9"/>
      <c r="E411" s="9"/>
      <c r="F411" s="10"/>
      <c r="G411" s="10"/>
      <c r="H411" s="9"/>
      <c r="I411" s="9"/>
      <c r="J411" s="8"/>
      <c r="K411" s="9"/>
    </row>
    <row r="412">
      <c r="A412" s="9"/>
      <c r="B412" s="9"/>
      <c r="C412" s="9"/>
      <c r="D412" s="9"/>
      <c r="E412" s="9"/>
      <c r="F412" s="10"/>
      <c r="G412" s="10"/>
      <c r="H412" s="9"/>
      <c r="I412" s="9"/>
      <c r="J412" s="8"/>
      <c r="K412" s="9"/>
    </row>
    <row r="413">
      <c r="A413" s="9"/>
      <c r="B413" s="9"/>
      <c r="C413" s="9"/>
      <c r="D413" s="9"/>
      <c r="E413" s="9"/>
      <c r="F413" s="10"/>
      <c r="G413" s="10"/>
      <c r="H413" s="9"/>
      <c r="I413" s="9"/>
      <c r="J413" s="8"/>
      <c r="K413" s="9"/>
    </row>
    <row r="414">
      <c r="A414" s="9"/>
      <c r="B414" s="9"/>
      <c r="C414" s="9"/>
      <c r="D414" s="9"/>
      <c r="E414" s="9"/>
      <c r="F414" s="10"/>
      <c r="G414" s="10"/>
      <c r="H414" s="9"/>
      <c r="I414" s="9"/>
      <c r="J414" s="8"/>
      <c r="K414" s="9"/>
    </row>
    <row r="415">
      <c r="A415" s="9"/>
      <c r="B415" s="9"/>
      <c r="C415" s="9"/>
      <c r="D415" s="9"/>
      <c r="E415" s="9"/>
      <c r="F415" s="10"/>
      <c r="G415" s="10"/>
      <c r="H415" s="9"/>
      <c r="I415" s="9"/>
      <c r="J415" s="8"/>
      <c r="K415" s="9"/>
    </row>
    <row r="416">
      <c r="A416" s="9"/>
      <c r="B416" s="9"/>
      <c r="C416" s="9"/>
      <c r="D416" s="9"/>
      <c r="E416" s="9"/>
      <c r="F416" s="10"/>
      <c r="G416" s="10"/>
      <c r="H416" s="9"/>
      <c r="I416" s="9"/>
      <c r="J416" s="8"/>
      <c r="K416" s="9"/>
    </row>
    <row r="417">
      <c r="A417" s="9"/>
      <c r="B417" s="9"/>
      <c r="C417" s="9"/>
      <c r="D417" s="9"/>
      <c r="E417" s="9"/>
      <c r="F417" s="10"/>
      <c r="G417" s="10"/>
      <c r="H417" s="9"/>
      <c r="I417" s="9"/>
      <c r="J417" s="8"/>
      <c r="K417" s="9"/>
    </row>
    <row r="418">
      <c r="A418" s="9"/>
      <c r="B418" s="9"/>
      <c r="C418" s="9"/>
      <c r="D418" s="9"/>
      <c r="E418" s="9"/>
      <c r="F418" s="10"/>
      <c r="G418" s="10"/>
      <c r="H418" s="9"/>
      <c r="I418" s="9"/>
      <c r="J418" s="8"/>
      <c r="K418" s="9"/>
    </row>
    <row r="419">
      <c r="A419" s="9"/>
      <c r="B419" s="9"/>
      <c r="C419" s="9"/>
      <c r="D419" s="9"/>
      <c r="E419" s="9"/>
      <c r="F419" s="10"/>
      <c r="G419" s="10"/>
      <c r="H419" s="9"/>
      <c r="I419" s="9"/>
      <c r="J419" s="8"/>
      <c r="K419" s="9"/>
    </row>
    <row r="420">
      <c r="A420" s="9"/>
      <c r="B420" s="9"/>
      <c r="C420" s="9"/>
      <c r="D420" s="9"/>
      <c r="E420" s="9"/>
      <c r="F420" s="10"/>
      <c r="G420" s="10"/>
      <c r="H420" s="9"/>
      <c r="I420" s="9"/>
      <c r="J420" s="8"/>
      <c r="K420" s="9"/>
    </row>
    <row r="421">
      <c r="A421" s="9"/>
      <c r="B421" s="9"/>
      <c r="C421" s="9"/>
      <c r="D421" s="9"/>
      <c r="E421" s="9"/>
      <c r="F421" s="10"/>
      <c r="G421" s="10"/>
      <c r="H421" s="9"/>
      <c r="I421" s="9"/>
      <c r="J421" s="8"/>
      <c r="K421" s="9"/>
    </row>
    <row r="422">
      <c r="A422" s="9"/>
      <c r="B422" s="9"/>
      <c r="C422" s="9"/>
      <c r="D422" s="9"/>
      <c r="E422" s="9"/>
      <c r="F422" s="10"/>
      <c r="G422" s="10"/>
      <c r="H422" s="9"/>
      <c r="I422" s="9"/>
      <c r="J422" s="8"/>
      <c r="K422" s="9"/>
    </row>
    <row r="423">
      <c r="A423" s="9"/>
      <c r="B423" s="9"/>
      <c r="C423" s="9"/>
      <c r="D423" s="9"/>
      <c r="E423" s="9"/>
      <c r="F423" s="10"/>
      <c r="G423" s="10"/>
      <c r="H423" s="9"/>
      <c r="I423" s="9"/>
      <c r="J423" s="8"/>
      <c r="K423" s="9"/>
    </row>
    <row r="424">
      <c r="A424" s="9"/>
      <c r="B424" s="9"/>
      <c r="C424" s="9"/>
      <c r="D424" s="9"/>
      <c r="E424" s="9"/>
      <c r="F424" s="10"/>
      <c r="G424" s="10"/>
      <c r="H424" s="9"/>
      <c r="I424" s="9"/>
      <c r="J424" s="8"/>
      <c r="K424" s="9"/>
    </row>
    <row r="425">
      <c r="A425" s="9"/>
      <c r="B425" s="9"/>
      <c r="C425" s="9"/>
      <c r="D425" s="9"/>
      <c r="E425" s="9"/>
      <c r="F425" s="10"/>
      <c r="G425" s="10"/>
      <c r="H425" s="9"/>
      <c r="I425" s="9"/>
      <c r="J425" s="8"/>
      <c r="K425" s="9"/>
    </row>
    <row r="426">
      <c r="A426" s="9"/>
      <c r="B426" s="9"/>
      <c r="C426" s="9"/>
      <c r="D426" s="9"/>
      <c r="E426" s="9"/>
      <c r="F426" s="10"/>
      <c r="G426" s="10"/>
      <c r="H426" s="9"/>
      <c r="I426" s="9"/>
      <c r="J426" s="8"/>
      <c r="K426" s="9"/>
    </row>
    <row r="427">
      <c r="A427" s="9"/>
      <c r="B427" s="9"/>
      <c r="C427" s="9"/>
      <c r="D427" s="9"/>
      <c r="E427" s="9"/>
      <c r="F427" s="10"/>
      <c r="G427" s="10"/>
      <c r="H427" s="9"/>
      <c r="I427" s="9"/>
      <c r="J427" s="8"/>
      <c r="K427" s="9"/>
    </row>
    <row r="428">
      <c r="A428" s="9"/>
      <c r="B428" s="9"/>
      <c r="C428" s="9"/>
      <c r="D428" s="9"/>
      <c r="E428" s="9"/>
      <c r="F428" s="10"/>
      <c r="G428" s="10"/>
      <c r="H428" s="9"/>
      <c r="I428" s="9"/>
      <c r="J428" s="8"/>
      <c r="K428" s="9"/>
    </row>
    <row r="429">
      <c r="A429" s="9"/>
      <c r="B429" s="9"/>
      <c r="C429" s="9"/>
      <c r="D429" s="9"/>
      <c r="E429" s="9"/>
      <c r="F429" s="10"/>
      <c r="G429" s="10"/>
      <c r="H429" s="9"/>
      <c r="I429" s="9"/>
      <c r="J429" s="8"/>
      <c r="K429" s="9"/>
    </row>
    <row r="430">
      <c r="A430" s="9"/>
      <c r="B430" s="9"/>
      <c r="C430" s="9"/>
      <c r="D430" s="9"/>
      <c r="E430" s="9"/>
      <c r="F430" s="10"/>
      <c r="G430" s="10"/>
      <c r="H430" s="9"/>
      <c r="I430" s="9"/>
      <c r="J430" s="8"/>
      <c r="K430" s="9"/>
    </row>
    <row r="431">
      <c r="A431" s="9"/>
      <c r="B431" s="9"/>
      <c r="C431" s="9"/>
      <c r="D431" s="9"/>
      <c r="E431" s="9"/>
      <c r="F431" s="10"/>
      <c r="G431" s="10"/>
      <c r="H431" s="9"/>
      <c r="I431" s="9"/>
      <c r="J431" s="8"/>
      <c r="K431" s="9"/>
    </row>
    <row r="432">
      <c r="A432" s="9"/>
      <c r="B432" s="9"/>
      <c r="C432" s="9"/>
      <c r="D432" s="9"/>
      <c r="E432" s="9"/>
      <c r="F432" s="10"/>
      <c r="G432" s="10"/>
      <c r="H432" s="9"/>
      <c r="I432" s="9"/>
      <c r="J432" s="8"/>
      <c r="K432" s="9"/>
    </row>
    <row r="433">
      <c r="A433" s="9"/>
      <c r="B433" s="9"/>
      <c r="C433" s="9"/>
      <c r="D433" s="9"/>
      <c r="E433" s="9"/>
      <c r="F433" s="10"/>
      <c r="G433" s="10"/>
      <c r="H433" s="9"/>
      <c r="I433" s="9"/>
      <c r="J433" s="8"/>
      <c r="K433" s="9"/>
    </row>
    <row r="434">
      <c r="A434" s="9"/>
      <c r="B434" s="9"/>
      <c r="C434" s="9"/>
      <c r="D434" s="9"/>
      <c r="E434" s="9"/>
      <c r="F434" s="10"/>
      <c r="G434" s="10"/>
      <c r="H434" s="9"/>
      <c r="I434" s="9"/>
      <c r="J434" s="8"/>
      <c r="K434" s="9"/>
    </row>
    <row r="435">
      <c r="A435" s="9"/>
      <c r="B435" s="9"/>
      <c r="C435" s="9"/>
      <c r="D435" s="9"/>
      <c r="E435" s="9"/>
      <c r="F435" s="10"/>
      <c r="G435" s="10"/>
      <c r="H435" s="9"/>
      <c r="I435" s="9"/>
      <c r="J435" s="8"/>
      <c r="K435" s="9"/>
    </row>
    <row r="436">
      <c r="A436" s="9"/>
      <c r="B436" s="9"/>
      <c r="C436" s="9"/>
      <c r="D436" s="9"/>
      <c r="E436" s="9"/>
      <c r="F436" s="10"/>
      <c r="G436" s="10"/>
      <c r="H436" s="9"/>
      <c r="I436" s="9"/>
      <c r="J436" s="8"/>
      <c r="K436" s="9"/>
    </row>
    <row r="437">
      <c r="A437" s="9"/>
      <c r="B437" s="9"/>
      <c r="C437" s="9"/>
      <c r="D437" s="9"/>
      <c r="E437" s="9"/>
      <c r="F437" s="10"/>
      <c r="G437" s="10"/>
      <c r="H437" s="9"/>
      <c r="I437" s="9"/>
      <c r="J437" s="8"/>
      <c r="K437" s="9"/>
    </row>
    <row r="438">
      <c r="A438" s="9"/>
      <c r="B438" s="9"/>
      <c r="C438" s="9"/>
      <c r="D438" s="9"/>
      <c r="E438" s="9"/>
      <c r="F438" s="10"/>
      <c r="G438" s="10"/>
      <c r="H438" s="9"/>
      <c r="I438" s="9"/>
      <c r="J438" s="8"/>
      <c r="K438" s="9"/>
    </row>
    <row r="439">
      <c r="A439" s="9"/>
      <c r="B439" s="9"/>
      <c r="C439" s="9"/>
      <c r="D439" s="9"/>
      <c r="E439" s="9"/>
      <c r="F439" s="10"/>
      <c r="G439" s="10"/>
      <c r="H439" s="9"/>
      <c r="I439" s="9"/>
      <c r="J439" s="8"/>
      <c r="K439" s="9"/>
    </row>
    <row r="440">
      <c r="A440" s="9"/>
      <c r="B440" s="9"/>
      <c r="C440" s="9"/>
      <c r="D440" s="9"/>
      <c r="E440" s="9"/>
      <c r="F440" s="10"/>
      <c r="G440" s="10"/>
      <c r="H440" s="9"/>
      <c r="I440" s="9"/>
      <c r="J440" s="8"/>
      <c r="K440" s="9"/>
    </row>
    <row r="441">
      <c r="A441" s="9"/>
      <c r="B441" s="9"/>
      <c r="C441" s="9"/>
      <c r="D441" s="9"/>
      <c r="E441" s="9"/>
      <c r="F441" s="10"/>
      <c r="G441" s="10"/>
      <c r="H441" s="9"/>
      <c r="I441" s="9"/>
      <c r="J441" s="8"/>
      <c r="K441" s="9"/>
    </row>
    <row r="442">
      <c r="A442" s="9"/>
      <c r="B442" s="9"/>
      <c r="C442" s="9"/>
      <c r="D442" s="9"/>
      <c r="E442" s="9"/>
      <c r="F442" s="10"/>
      <c r="G442" s="10"/>
      <c r="H442" s="9"/>
      <c r="I442" s="9"/>
      <c r="J442" s="8"/>
      <c r="K442" s="9"/>
    </row>
    <row r="443">
      <c r="A443" s="9"/>
      <c r="B443" s="9"/>
      <c r="C443" s="9"/>
      <c r="D443" s="9"/>
      <c r="E443" s="9"/>
      <c r="F443" s="10"/>
      <c r="G443" s="10"/>
      <c r="H443" s="9"/>
      <c r="I443" s="9"/>
      <c r="J443" s="8"/>
      <c r="K443" s="9"/>
    </row>
    <row r="444">
      <c r="A444" s="9"/>
      <c r="B444" s="9"/>
      <c r="C444" s="9"/>
      <c r="D444" s="9"/>
      <c r="E444" s="9"/>
      <c r="F444" s="10"/>
      <c r="G444" s="10"/>
      <c r="H444" s="9"/>
      <c r="I444" s="9"/>
      <c r="J444" s="8"/>
      <c r="K444" s="9"/>
    </row>
    <row r="445">
      <c r="A445" s="9"/>
      <c r="B445" s="9"/>
      <c r="C445" s="9"/>
      <c r="D445" s="9"/>
      <c r="E445" s="9"/>
      <c r="F445" s="10"/>
      <c r="G445" s="10"/>
      <c r="H445" s="9"/>
      <c r="I445" s="9"/>
      <c r="J445" s="8"/>
      <c r="K445" s="9"/>
    </row>
    <row r="446">
      <c r="A446" s="9"/>
      <c r="B446" s="9"/>
      <c r="C446" s="9"/>
      <c r="D446" s="9"/>
      <c r="E446" s="9"/>
      <c r="F446" s="10"/>
      <c r="G446" s="10"/>
      <c r="H446" s="9"/>
      <c r="I446" s="9"/>
      <c r="J446" s="8"/>
      <c r="K446" s="9"/>
    </row>
    <row r="447">
      <c r="A447" s="9"/>
      <c r="B447" s="9"/>
      <c r="C447" s="9"/>
      <c r="D447" s="9"/>
      <c r="E447" s="9"/>
      <c r="F447" s="10"/>
      <c r="G447" s="10"/>
      <c r="H447" s="9"/>
      <c r="I447" s="9"/>
      <c r="J447" s="8"/>
      <c r="K447" s="9"/>
    </row>
    <row r="448">
      <c r="A448" s="9"/>
      <c r="B448" s="9"/>
      <c r="C448" s="9"/>
      <c r="D448" s="9"/>
      <c r="E448" s="9"/>
      <c r="F448" s="10"/>
      <c r="G448" s="10"/>
      <c r="H448" s="9"/>
      <c r="I448" s="9"/>
      <c r="J448" s="8"/>
      <c r="K448" s="9"/>
    </row>
    <row r="449">
      <c r="A449" s="9"/>
      <c r="B449" s="9"/>
      <c r="C449" s="9"/>
      <c r="D449" s="9"/>
      <c r="E449" s="9"/>
      <c r="F449" s="10"/>
      <c r="G449" s="10"/>
      <c r="H449" s="9"/>
      <c r="I449" s="9"/>
      <c r="J449" s="8"/>
      <c r="K449" s="9"/>
    </row>
    <row r="450">
      <c r="A450" s="9"/>
      <c r="B450" s="9"/>
      <c r="C450" s="9"/>
      <c r="D450" s="9"/>
      <c r="E450" s="9"/>
      <c r="F450" s="10"/>
      <c r="G450" s="10"/>
      <c r="H450" s="9"/>
      <c r="I450" s="9"/>
      <c r="J450" s="8"/>
      <c r="K450" s="9"/>
    </row>
    <row r="451">
      <c r="A451" s="9"/>
      <c r="B451" s="9"/>
      <c r="C451" s="9"/>
      <c r="D451" s="9"/>
      <c r="E451" s="9"/>
      <c r="F451" s="10"/>
      <c r="G451" s="10"/>
      <c r="H451" s="9"/>
      <c r="I451" s="9"/>
      <c r="J451" s="8"/>
      <c r="K451" s="9"/>
    </row>
    <row r="452">
      <c r="A452" s="9"/>
      <c r="B452" s="9"/>
      <c r="C452" s="9"/>
      <c r="D452" s="9"/>
      <c r="E452" s="9"/>
      <c r="F452" s="10"/>
      <c r="G452" s="10"/>
      <c r="H452" s="9"/>
      <c r="I452" s="9"/>
      <c r="J452" s="8"/>
      <c r="K452" s="9"/>
    </row>
    <row r="453">
      <c r="A453" s="9"/>
      <c r="B453" s="9"/>
      <c r="C453" s="9"/>
      <c r="D453" s="9"/>
      <c r="E453" s="9"/>
      <c r="F453" s="10"/>
      <c r="G453" s="10"/>
      <c r="H453" s="9"/>
      <c r="I453" s="9"/>
      <c r="J453" s="8"/>
      <c r="K453" s="9"/>
    </row>
    <row r="454">
      <c r="A454" s="9"/>
      <c r="B454" s="9"/>
      <c r="C454" s="9"/>
      <c r="D454" s="9"/>
      <c r="E454" s="9"/>
      <c r="F454" s="10"/>
      <c r="G454" s="10"/>
      <c r="H454" s="9"/>
      <c r="I454" s="9"/>
      <c r="J454" s="8"/>
      <c r="K454" s="9"/>
    </row>
    <row r="455">
      <c r="A455" s="9"/>
      <c r="B455" s="9"/>
      <c r="C455" s="9"/>
      <c r="D455" s="9"/>
      <c r="E455" s="9"/>
      <c r="F455" s="10"/>
      <c r="G455" s="10"/>
      <c r="H455" s="9"/>
      <c r="I455" s="9"/>
      <c r="J455" s="8"/>
      <c r="K455" s="9"/>
    </row>
    <row r="456">
      <c r="A456" s="9"/>
      <c r="B456" s="9"/>
      <c r="C456" s="9"/>
      <c r="D456" s="9"/>
      <c r="E456" s="9"/>
      <c r="F456" s="10"/>
      <c r="G456" s="10"/>
      <c r="H456" s="9"/>
      <c r="I456" s="9"/>
      <c r="J456" s="8"/>
      <c r="K456" s="9"/>
    </row>
    <row r="457">
      <c r="A457" s="9"/>
      <c r="B457" s="9"/>
      <c r="C457" s="9"/>
      <c r="D457" s="9"/>
      <c r="E457" s="9"/>
      <c r="F457" s="10"/>
      <c r="G457" s="10"/>
      <c r="H457" s="9"/>
      <c r="I457" s="9"/>
      <c r="J457" s="8"/>
      <c r="K457" s="9"/>
    </row>
    <row r="458">
      <c r="A458" s="9"/>
      <c r="B458" s="9"/>
      <c r="C458" s="9"/>
      <c r="D458" s="9"/>
      <c r="E458" s="9"/>
      <c r="F458" s="10"/>
      <c r="G458" s="10"/>
      <c r="H458" s="9"/>
      <c r="I458" s="9"/>
      <c r="J458" s="8"/>
      <c r="K458" s="9"/>
    </row>
    <row r="459">
      <c r="A459" s="9"/>
      <c r="B459" s="9"/>
      <c r="C459" s="9"/>
      <c r="D459" s="9"/>
      <c r="E459" s="9"/>
      <c r="F459" s="10"/>
      <c r="G459" s="10"/>
      <c r="H459" s="9"/>
      <c r="I459" s="9"/>
      <c r="J459" s="8"/>
      <c r="K459" s="9"/>
    </row>
    <row r="460">
      <c r="A460" s="9"/>
      <c r="B460" s="9"/>
      <c r="C460" s="9"/>
      <c r="D460" s="9"/>
      <c r="E460" s="9"/>
      <c r="F460" s="10"/>
      <c r="G460" s="10"/>
      <c r="H460" s="9"/>
      <c r="I460" s="9"/>
      <c r="J460" s="8"/>
      <c r="K460" s="9"/>
    </row>
    <row r="461">
      <c r="A461" s="9"/>
      <c r="B461" s="9"/>
      <c r="C461" s="9"/>
      <c r="D461" s="9"/>
      <c r="E461" s="9"/>
      <c r="F461" s="10"/>
      <c r="G461" s="10"/>
      <c r="H461" s="9"/>
      <c r="I461" s="9"/>
      <c r="J461" s="8"/>
      <c r="K461" s="9"/>
    </row>
    <row r="462">
      <c r="A462" s="9"/>
      <c r="B462" s="9"/>
      <c r="C462" s="9"/>
      <c r="D462" s="9"/>
      <c r="E462" s="9"/>
      <c r="F462" s="10"/>
      <c r="G462" s="10"/>
      <c r="H462" s="9"/>
      <c r="I462" s="9"/>
      <c r="J462" s="8"/>
      <c r="K462" s="9"/>
    </row>
    <row r="463">
      <c r="A463" s="9"/>
      <c r="B463" s="9"/>
      <c r="C463" s="9"/>
      <c r="D463" s="9"/>
      <c r="E463" s="9"/>
      <c r="F463" s="10"/>
      <c r="G463" s="10"/>
      <c r="H463" s="9"/>
      <c r="I463" s="9"/>
      <c r="J463" s="8"/>
      <c r="K463" s="9"/>
    </row>
    <row r="464">
      <c r="A464" s="9"/>
      <c r="B464" s="9"/>
      <c r="C464" s="9"/>
      <c r="D464" s="9"/>
      <c r="E464" s="9"/>
      <c r="F464" s="10"/>
      <c r="G464" s="10"/>
      <c r="H464" s="9"/>
      <c r="I464" s="9"/>
      <c r="J464" s="8"/>
      <c r="K464" s="9"/>
    </row>
    <row r="465">
      <c r="A465" s="9"/>
      <c r="B465" s="9"/>
      <c r="C465" s="9"/>
      <c r="D465" s="9"/>
      <c r="E465" s="9"/>
      <c r="F465" s="10"/>
      <c r="G465" s="10"/>
      <c r="H465" s="9"/>
      <c r="I465" s="9"/>
      <c r="J465" s="8"/>
      <c r="K465" s="9"/>
    </row>
    <row r="466">
      <c r="A466" s="9"/>
      <c r="B466" s="9"/>
      <c r="C466" s="9"/>
      <c r="D466" s="9"/>
      <c r="E466" s="9"/>
      <c r="F466" s="10"/>
      <c r="G466" s="10"/>
      <c r="H466" s="9"/>
      <c r="I466" s="9"/>
      <c r="J466" s="8"/>
      <c r="K466" s="9"/>
    </row>
    <row r="467">
      <c r="A467" s="9"/>
      <c r="B467" s="9"/>
      <c r="C467" s="9"/>
      <c r="D467" s="9"/>
      <c r="E467" s="9"/>
      <c r="F467" s="10"/>
      <c r="G467" s="10"/>
      <c r="H467" s="9"/>
      <c r="I467" s="9"/>
      <c r="J467" s="8"/>
      <c r="K467" s="9"/>
    </row>
    <row r="468">
      <c r="A468" s="9"/>
      <c r="B468" s="9"/>
      <c r="C468" s="9"/>
      <c r="D468" s="9"/>
      <c r="E468" s="9"/>
      <c r="F468" s="10"/>
      <c r="G468" s="10"/>
      <c r="H468" s="9"/>
      <c r="I468" s="9"/>
      <c r="J468" s="8"/>
      <c r="K468" s="9"/>
    </row>
    <row r="469">
      <c r="A469" s="9"/>
      <c r="B469" s="9"/>
      <c r="C469" s="9"/>
      <c r="D469" s="9"/>
      <c r="E469" s="9"/>
      <c r="F469" s="10"/>
      <c r="G469" s="10"/>
      <c r="H469" s="9"/>
      <c r="I469" s="9"/>
      <c r="J469" s="8"/>
      <c r="K469" s="9"/>
    </row>
    <row r="470">
      <c r="A470" s="9"/>
      <c r="B470" s="9"/>
      <c r="C470" s="9"/>
      <c r="D470" s="9"/>
      <c r="E470" s="9"/>
      <c r="F470" s="10"/>
      <c r="G470" s="10"/>
      <c r="H470" s="9"/>
      <c r="I470" s="9"/>
      <c r="J470" s="8"/>
      <c r="K470" s="9"/>
    </row>
    <row r="471">
      <c r="A471" s="9"/>
      <c r="B471" s="9"/>
      <c r="C471" s="9"/>
      <c r="D471" s="9"/>
      <c r="E471" s="9"/>
      <c r="F471" s="10"/>
      <c r="G471" s="10"/>
      <c r="H471" s="9"/>
      <c r="I471" s="9"/>
      <c r="J471" s="8"/>
      <c r="K471" s="9"/>
    </row>
    <row r="472">
      <c r="A472" s="9"/>
      <c r="B472" s="9"/>
      <c r="C472" s="9"/>
      <c r="D472" s="9"/>
      <c r="E472" s="9"/>
      <c r="F472" s="10"/>
      <c r="G472" s="10"/>
      <c r="H472" s="9"/>
      <c r="I472" s="9"/>
      <c r="J472" s="8"/>
      <c r="K472" s="9"/>
    </row>
    <row r="473">
      <c r="A473" s="9"/>
      <c r="B473" s="9"/>
      <c r="C473" s="9"/>
      <c r="D473" s="9"/>
      <c r="E473" s="9"/>
      <c r="F473" s="10"/>
      <c r="G473" s="10"/>
      <c r="H473" s="9"/>
      <c r="I473" s="9"/>
      <c r="J473" s="8"/>
      <c r="K473" s="9"/>
    </row>
    <row r="474">
      <c r="A474" s="9"/>
      <c r="B474" s="9"/>
      <c r="C474" s="9"/>
      <c r="D474" s="9"/>
      <c r="E474" s="9"/>
      <c r="F474" s="10"/>
      <c r="G474" s="10"/>
      <c r="H474" s="9"/>
      <c r="I474" s="9"/>
      <c r="J474" s="8"/>
      <c r="K474" s="9"/>
    </row>
    <row r="475">
      <c r="A475" s="9"/>
      <c r="B475" s="9"/>
      <c r="C475" s="9"/>
      <c r="D475" s="9"/>
      <c r="E475" s="9"/>
      <c r="F475" s="10"/>
      <c r="G475" s="10"/>
      <c r="H475" s="9"/>
      <c r="I475" s="9"/>
      <c r="J475" s="8"/>
      <c r="K475" s="9"/>
    </row>
    <row r="476">
      <c r="A476" s="9"/>
      <c r="B476" s="9"/>
      <c r="C476" s="9"/>
      <c r="D476" s="9"/>
      <c r="E476" s="9"/>
      <c r="F476" s="10"/>
      <c r="G476" s="10"/>
      <c r="H476" s="9"/>
      <c r="I476" s="9"/>
      <c r="J476" s="8"/>
      <c r="K476" s="9"/>
    </row>
    <row r="477">
      <c r="A477" s="9"/>
      <c r="B477" s="9"/>
      <c r="C477" s="9"/>
      <c r="D477" s="9"/>
      <c r="E477" s="9"/>
      <c r="F477" s="10"/>
      <c r="G477" s="10"/>
      <c r="H477" s="9"/>
      <c r="I477" s="9"/>
      <c r="J477" s="8"/>
      <c r="K477" s="9"/>
    </row>
    <row r="478">
      <c r="A478" s="9"/>
      <c r="B478" s="9"/>
      <c r="C478" s="9"/>
      <c r="D478" s="9"/>
      <c r="E478" s="9"/>
      <c r="F478" s="10"/>
      <c r="G478" s="10"/>
      <c r="H478" s="9"/>
      <c r="I478" s="9"/>
      <c r="J478" s="8"/>
      <c r="K478" s="9"/>
    </row>
    <row r="479">
      <c r="A479" s="9"/>
      <c r="B479" s="9"/>
      <c r="C479" s="9"/>
      <c r="D479" s="9"/>
      <c r="E479" s="9"/>
      <c r="F479" s="10"/>
      <c r="G479" s="10"/>
      <c r="H479" s="9"/>
      <c r="I479" s="9"/>
      <c r="J479" s="8"/>
      <c r="K479" s="9"/>
    </row>
    <row r="480">
      <c r="A480" s="9"/>
      <c r="B480" s="9"/>
      <c r="C480" s="9"/>
      <c r="D480" s="9"/>
      <c r="E480" s="9"/>
      <c r="F480" s="10"/>
      <c r="G480" s="10"/>
      <c r="H480" s="9"/>
      <c r="I480" s="9"/>
      <c r="J480" s="8"/>
      <c r="K480" s="9"/>
    </row>
    <row r="481">
      <c r="A481" s="9"/>
      <c r="B481" s="9"/>
      <c r="C481" s="9"/>
      <c r="D481" s="9"/>
      <c r="E481" s="9"/>
      <c r="F481" s="10"/>
      <c r="G481" s="10"/>
      <c r="H481" s="9"/>
      <c r="I481" s="9"/>
      <c r="J481" s="8"/>
      <c r="K481" s="9"/>
    </row>
    <row r="482">
      <c r="A482" s="9"/>
      <c r="B482" s="9"/>
      <c r="C482" s="9"/>
      <c r="D482" s="9"/>
      <c r="E482" s="9"/>
      <c r="F482" s="10"/>
      <c r="G482" s="10"/>
      <c r="H482" s="9"/>
      <c r="I482" s="9"/>
      <c r="J482" s="8"/>
      <c r="K482" s="9"/>
    </row>
    <row r="483">
      <c r="A483" s="9"/>
      <c r="B483" s="9"/>
      <c r="C483" s="9"/>
      <c r="D483" s="9"/>
      <c r="E483" s="9"/>
      <c r="F483" s="10"/>
      <c r="G483" s="10"/>
      <c r="H483" s="9"/>
      <c r="I483" s="9"/>
      <c r="J483" s="8"/>
      <c r="K483" s="9"/>
    </row>
    <row r="484">
      <c r="A484" s="9"/>
      <c r="B484" s="9"/>
      <c r="C484" s="9"/>
      <c r="D484" s="9"/>
      <c r="E484" s="9"/>
      <c r="F484" s="10"/>
      <c r="G484" s="10"/>
      <c r="H484" s="9"/>
      <c r="I484" s="9"/>
      <c r="J484" s="8"/>
      <c r="K484" s="9"/>
    </row>
    <row r="485">
      <c r="A485" s="9"/>
      <c r="B485" s="9"/>
      <c r="C485" s="9"/>
      <c r="D485" s="9"/>
      <c r="E485" s="9"/>
      <c r="F485" s="10"/>
      <c r="G485" s="10"/>
      <c r="H485" s="9"/>
      <c r="I485" s="9"/>
      <c r="J485" s="8"/>
      <c r="K485" s="9"/>
    </row>
    <row r="486">
      <c r="A486" s="9"/>
      <c r="B486" s="9"/>
      <c r="C486" s="9"/>
      <c r="D486" s="9"/>
      <c r="E486" s="9"/>
      <c r="F486" s="10"/>
      <c r="G486" s="10"/>
      <c r="H486" s="9"/>
      <c r="I486" s="9"/>
      <c r="J486" s="8"/>
      <c r="K486" s="9"/>
    </row>
    <row r="487">
      <c r="A487" s="9"/>
      <c r="B487" s="9"/>
      <c r="C487" s="9"/>
      <c r="D487" s="9"/>
      <c r="E487" s="9"/>
      <c r="F487" s="10"/>
      <c r="G487" s="10"/>
      <c r="H487" s="9"/>
      <c r="I487" s="9"/>
      <c r="J487" s="8"/>
      <c r="K487" s="9"/>
    </row>
    <row r="488">
      <c r="A488" s="9"/>
      <c r="B488" s="9"/>
      <c r="C488" s="9"/>
      <c r="D488" s="9"/>
      <c r="E488" s="9"/>
      <c r="F488" s="10"/>
      <c r="G488" s="10"/>
      <c r="H488" s="9"/>
      <c r="I488" s="9"/>
      <c r="J488" s="8"/>
      <c r="K488" s="9"/>
    </row>
    <row r="489">
      <c r="A489" s="9"/>
      <c r="B489" s="9"/>
      <c r="C489" s="9"/>
      <c r="D489" s="9"/>
      <c r="E489" s="9"/>
      <c r="F489" s="10"/>
      <c r="G489" s="10"/>
      <c r="H489" s="9"/>
      <c r="I489" s="9"/>
      <c r="J489" s="8"/>
      <c r="K489" s="9"/>
    </row>
    <row r="490">
      <c r="A490" s="9"/>
      <c r="B490" s="9"/>
      <c r="C490" s="9"/>
      <c r="D490" s="9"/>
      <c r="E490" s="9"/>
      <c r="F490" s="10"/>
      <c r="G490" s="10"/>
      <c r="H490" s="9"/>
      <c r="I490" s="9"/>
      <c r="J490" s="8"/>
      <c r="K490" s="9"/>
    </row>
    <row r="491">
      <c r="A491" s="9"/>
      <c r="B491" s="9"/>
      <c r="C491" s="9"/>
      <c r="D491" s="9"/>
      <c r="E491" s="9"/>
      <c r="F491" s="10"/>
      <c r="G491" s="10"/>
      <c r="H491" s="9"/>
      <c r="I491" s="9"/>
      <c r="J491" s="8"/>
      <c r="K491" s="9"/>
    </row>
    <row r="492">
      <c r="A492" s="9"/>
      <c r="B492" s="9"/>
      <c r="C492" s="9"/>
      <c r="D492" s="9"/>
      <c r="E492" s="9"/>
      <c r="F492" s="10"/>
      <c r="G492" s="10"/>
      <c r="H492" s="9"/>
      <c r="I492" s="9"/>
      <c r="J492" s="8"/>
      <c r="K492" s="9"/>
    </row>
    <row r="493">
      <c r="A493" s="9"/>
      <c r="B493" s="9"/>
      <c r="C493" s="9"/>
      <c r="D493" s="9"/>
      <c r="E493" s="9"/>
      <c r="F493" s="10"/>
      <c r="G493" s="10"/>
      <c r="H493" s="9"/>
      <c r="I493" s="9"/>
      <c r="J493" s="8"/>
      <c r="K493" s="9"/>
    </row>
    <row r="494">
      <c r="A494" s="9"/>
      <c r="B494" s="9"/>
      <c r="C494" s="9"/>
      <c r="D494" s="9"/>
      <c r="E494" s="9"/>
      <c r="F494" s="10"/>
      <c r="G494" s="10"/>
      <c r="H494" s="9"/>
      <c r="I494" s="9"/>
      <c r="J494" s="8"/>
      <c r="K494" s="9"/>
    </row>
    <row r="495">
      <c r="A495" s="9"/>
      <c r="B495" s="9"/>
      <c r="C495" s="9"/>
      <c r="D495" s="9"/>
      <c r="E495" s="9"/>
      <c r="F495" s="10"/>
      <c r="G495" s="10"/>
      <c r="H495" s="9"/>
      <c r="I495" s="9"/>
      <c r="J495" s="8"/>
      <c r="K495" s="9"/>
    </row>
    <row r="496">
      <c r="A496" s="9"/>
      <c r="B496" s="9"/>
      <c r="C496" s="9"/>
      <c r="D496" s="9"/>
      <c r="E496" s="9"/>
      <c r="F496" s="10"/>
      <c r="G496" s="10"/>
      <c r="H496" s="9"/>
      <c r="I496" s="9"/>
      <c r="J496" s="8"/>
      <c r="K496" s="9"/>
    </row>
    <row r="497">
      <c r="A497" s="9"/>
      <c r="B497" s="9"/>
      <c r="C497" s="9"/>
      <c r="D497" s="9"/>
      <c r="E497" s="9"/>
      <c r="F497" s="10"/>
      <c r="G497" s="10"/>
      <c r="H497" s="9"/>
      <c r="I497" s="9"/>
      <c r="J497" s="8"/>
      <c r="K497" s="9"/>
    </row>
    <row r="498">
      <c r="A498" s="9"/>
      <c r="B498" s="9"/>
      <c r="C498" s="9"/>
      <c r="D498" s="9"/>
      <c r="E498" s="9"/>
      <c r="F498" s="10"/>
      <c r="G498" s="10"/>
      <c r="H498" s="9"/>
      <c r="I498" s="9"/>
      <c r="J498" s="8"/>
      <c r="K498" s="9"/>
    </row>
    <row r="499">
      <c r="A499" s="9"/>
      <c r="B499" s="9"/>
      <c r="C499" s="9"/>
      <c r="D499" s="9"/>
      <c r="E499" s="9"/>
      <c r="F499" s="10"/>
      <c r="G499" s="10"/>
      <c r="H499" s="9"/>
      <c r="I499" s="9"/>
      <c r="J499" s="8"/>
      <c r="K499" s="9"/>
    </row>
    <row r="500">
      <c r="A500" s="9"/>
      <c r="B500" s="9"/>
      <c r="C500" s="9"/>
      <c r="D500" s="9"/>
      <c r="E500" s="9"/>
      <c r="F500" s="10"/>
      <c r="G500" s="10"/>
      <c r="H500" s="9"/>
      <c r="I500" s="9"/>
      <c r="J500" s="8"/>
      <c r="K500" s="9"/>
    </row>
    <row r="501">
      <c r="A501" s="9"/>
      <c r="B501" s="9"/>
      <c r="C501" s="9"/>
      <c r="D501" s="9"/>
      <c r="E501" s="9"/>
      <c r="F501" s="10"/>
      <c r="G501" s="10"/>
      <c r="H501" s="9"/>
      <c r="I501" s="9"/>
      <c r="J501" s="8"/>
      <c r="K501" s="9"/>
    </row>
    <row r="502">
      <c r="A502" s="9"/>
      <c r="B502" s="9"/>
      <c r="C502" s="9"/>
      <c r="D502" s="9"/>
      <c r="E502" s="9"/>
      <c r="F502" s="10"/>
      <c r="G502" s="10"/>
      <c r="H502" s="9"/>
      <c r="I502" s="9"/>
      <c r="J502" s="8"/>
      <c r="K502" s="9"/>
    </row>
    <row r="503">
      <c r="A503" s="9"/>
      <c r="B503" s="9"/>
      <c r="C503" s="9"/>
      <c r="D503" s="9"/>
      <c r="E503" s="9"/>
      <c r="F503" s="10"/>
      <c r="G503" s="10"/>
      <c r="H503" s="9"/>
      <c r="I503" s="9"/>
      <c r="J503" s="8"/>
      <c r="K503" s="9"/>
    </row>
    <row r="504">
      <c r="A504" s="9"/>
      <c r="B504" s="9"/>
      <c r="C504" s="9"/>
      <c r="D504" s="9"/>
      <c r="E504" s="9"/>
      <c r="F504" s="10"/>
      <c r="G504" s="10"/>
      <c r="H504" s="9"/>
      <c r="I504" s="9"/>
      <c r="J504" s="8"/>
      <c r="K504" s="9"/>
    </row>
    <row r="505">
      <c r="A505" s="9"/>
      <c r="B505" s="9"/>
      <c r="C505" s="9"/>
      <c r="D505" s="9"/>
      <c r="E505" s="9"/>
      <c r="F505" s="10"/>
      <c r="G505" s="10"/>
      <c r="H505" s="9"/>
      <c r="I505" s="9"/>
      <c r="J505" s="8"/>
      <c r="K505" s="9"/>
    </row>
    <row r="506">
      <c r="A506" s="9"/>
      <c r="B506" s="9"/>
      <c r="C506" s="9"/>
      <c r="D506" s="9"/>
      <c r="E506" s="9"/>
      <c r="F506" s="10"/>
      <c r="G506" s="10"/>
      <c r="H506" s="9"/>
      <c r="I506" s="9"/>
      <c r="J506" s="8"/>
      <c r="K506" s="9"/>
    </row>
    <row r="507">
      <c r="A507" s="9"/>
      <c r="B507" s="9"/>
      <c r="C507" s="9"/>
      <c r="D507" s="9"/>
      <c r="E507" s="9"/>
      <c r="F507" s="10"/>
      <c r="G507" s="10"/>
      <c r="H507" s="9"/>
      <c r="I507" s="9"/>
      <c r="J507" s="8"/>
      <c r="K507" s="9"/>
    </row>
    <row r="508">
      <c r="A508" s="9"/>
      <c r="B508" s="9"/>
      <c r="C508" s="9"/>
      <c r="D508" s="9"/>
      <c r="E508" s="9"/>
      <c r="F508" s="10"/>
      <c r="G508" s="10"/>
      <c r="H508" s="9"/>
      <c r="I508" s="9"/>
      <c r="J508" s="8"/>
      <c r="K508" s="9"/>
    </row>
    <row r="509">
      <c r="A509" s="9"/>
      <c r="B509" s="9"/>
      <c r="C509" s="9"/>
      <c r="D509" s="9"/>
      <c r="E509" s="9"/>
      <c r="F509" s="10"/>
      <c r="G509" s="10"/>
      <c r="H509" s="9"/>
      <c r="I509" s="9"/>
      <c r="J509" s="8"/>
      <c r="K509" s="9"/>
    </row>
    <row r="510">
      <c r="A510" s="9"/>
      <c r="B510" s="9"/>
      <c r="C510" s="9"/>
      <c r="D510" s="9"/>
      <c r="E510" s="9"/>
      <c r="F510" s="10"/>
      <c r="G510" s="10"/>
      <c r="H510" s="9"/>
      <c r="I510" s="9"/>
      <c r="J510" s="8"/>
      <c r="K510" s="9"/>
    </row>
    <row r="511">
      <c r="A511" s="9"/>
      <c r="B511" s="9"/>
      <c r="C511" s="9"/>
      <c r="D511" s="9"/>
      <c r="E511" s="9"/>
      <c r="F511" s="10"/>
      <c r="G511" s="10"/>
      <c r="H511" s="9"/>
      <c r="I511" s="9"/>
      <c r="J511" s="8"/>
      <c r="K511" s="9"/>
    </row>
    <row r="512">
      <c r="A512" s="9"/>
      <c r="B512" s="9"/>
      <c r="C512" s="9"/>
      <c r="D512" s="9"/>
      <c r="E512" s="9"/>
      <c r="F512" s="10"/>
      <c r="G512" s="10"/>
      <c r="H512" s="9"/>
      <c r="I512" s="9"/>
      <c r="J512" s="8"/>
      <c r="K512" s="9"/>
    </row>
    <row r="513">
      <c r="A513" s="9"/>
      <c r="B513" s="9"/>
      <c r="C513" s="9"/>
      <c r="D513" s="9"/>
      <c r="E513" s="9"/>
      <c r="F513" s="10"/>
      <c r="G513" s="10"/>
      <c r="H513" s="9"/>
      <c r="I513" s="9"/>
      <c r="J513" s="8"/>
      <c r="K513" s="9"/>
    </row>
    <row r="514">
      <c r="A514" s="9"/>
      <c r="B514" s="9"/>
      <c r="C514" s="9"/>
      <c r="D514" s="9"/>
      <c r="E514" s="9"/>
      <c r="F514" s="10"/>
      <c r="G514" s="10"/>
      <c r="H514" s="9"/>
      <c r="I514" s="9"/>
      <c r="J514" s="8"/>
      <c r="K514" s="9"/>
    </row>
    <row r="515">
      <c r="A515" s="9"/>
      <c r="B515" s="9"/>
      <c r="C515" s="9"/>
      <c r="D515" s="9"/>
      <c r="E515" s="9"/>
      <c r="F515" s="10"/>
      <c r="G515" s="10"/>
      <c r="H515" s="9"/>
      <c r="I515" s="9"/>
      <c r="J515" s="8"/>
      <c r="K515" s="9"/>
    </row>
    <row r="516">
      <c r="A516" s="9"/>
      <c r="B516" s="9"/>
      <c r="C516" s="9"/>
      <c r="D516" s="9"/>
      <c r="E516" s="9"/>
      <c r="F516" s="10"/>
      <c r="G516" s="10"/>
      <c r="H516" s="9"/>
      <c r="I516" s="9"/>
      <c r="J516" s="8"/>
      <c r="K516" s="9"/>
    </row>
    <row r="517">
      <c r="A517" s="9"/>
      <c r="B517" s="9"/>
      <c r="C517" s="9"/>
      <c r="D517" s="9"/>
      <c r="E517" s="9"/>
      <c r="F517" s="10"/>
      <c r="G517" s="10"/>
      <c r="H517" s="9"/>
      <c r="I517" s="9"/>
      <c r="J517" s="8"/>
      <c r="K517" s="9"/>
    </row>
    <row r="518">
      <c r="A518" s="9"/>
      <c r="B518" s="9"/>
      <c r="C518" s="9"/>
      <c r="D518" s="9"/>
      <c r="E518" s="9"/>
      <c r="F518" s="10"/>
      <c r="G518" s="10"/>
      <c r="H518" s="9"/>
      <c r="I518" s="9"/>
      <c r="J518" s="8"/>
      <c r="K518" s="9"/>
    </row>
    <row r="519">
      <c r="A519" s="9"/>
      <c r="B519" s="9"/>
      <c r="C519" s="9"/>
      <c r="D519" s="9"/>
      <c r="E519" s="9"/>
      <c r="F519" s="10"/>
      <c r="G519" s="10"/>
      <c r="H519" s="9"/>
      <c r="I519" s="9"/>
      <c r="J519" s="8"/>
      <c r="K519" s="9"/>
    </row>
    <row r="520">
      <c r="A520" s="9"/>
      <c r="B520" s="9"/>
      <c r="C520" s="9"/>
      <c r="D520" s="9"/>
      <c r="E520" s="9"/>
      <c r="F520" s="10"/>
      <c r="G520" s="10"/>
      <c r="H520" s="9"/>
      <c r="I520" s="9"/>
      <c r="J520" s="8"/>
      <c r="K520" s="9"/>
    </row>
    <row r="521">
      <c r="A521" s="9"/>
      <c r="B521" s="9"/>
      <c r="C521" s="9"/>
      <c r="D521" s="9"/>
      <c r="E521" s="9"/>
      <c r="F521" s="10"/>
      <c r="G521" s="10"/>
      <c r="H521" s="9"/>
      <c r="I521" s="9"/>
      <c r="J521" s="8"/>
      <c r="K521" s="9"/>
    </row>
    <row r="522">
      <c r="A522" s="9"/>
      <c r="B522" s="9"/>
      <c r="C522" s="9"/>
      <c r="D522" s="9"/>
      <c r="E522" s="9"/>
      <c r="F522" s="10"/>
      <c r="G522" s="10"/>
      <c r="H522" s="9"/>
      <c r="I522" s="9"/>
      <c r="J522" s="8"/>
      <c r="K522" s="9"/>
    </row>
    <row r="523">
      <c r="A523" s="9"/>
      <c r="B523" s="9"/>
      <c r="C523" s="9"/>
      <c r="D523" s="9"/>
      <c r="E523" s="9"/>
      <c r="F523" s="10"/>
      <c r="G523" s="10"/>
      <c r="H523" s="9"/>
      <c r="I523" s="9"/>
      <c r="J523" s="8"/>
      <c r="K523" s="9"/>
    </row>
    <row r="524">
      <c r="A524" s="9"/>
      <c r="B524" s="9"/>
      <c r="C524" s="9"/>
      <c r="D524" s="9"/>
      <c r="E524" s="9"/>
      <c r="F524" s="10"/>
      <c r="G524" s="10"/>
      <c r="H524" s="9"/>
      <c r="I524" s="9"/>
      <c r="J524" s="8"/>
      <c r="K524" s="9"/>
    </row>
    <row r="525">
      <c r="A525" s="9"/>
      <c r="B525" s="9"/>
      <c r="C525" s="9"/>
      <c r="D525" s="9"/>
      <c r="E525" s="9"/>
      <c r="F525" s="10"/>
      <c r="G525" s="10"/>
      <c r="H525" s="9"/>
      <c r="I525" s="9"/>
      <c r="J525" s="8"/>
      <c r="K525" s="9"/>
    </row>
    <row r="526">
      <c r="A526" s="9"/>
      <c r="B526" s="9"/>
      <c r="C526" s="9"/>
      <c r="D526" s="9"/>
      <c r="E526" s="9"/>
      <c r="F526" s="10"/>
      <c r="G526" s="10"/>
      <c r="H526" s="9"/>
      <c r="I526" s="9"/>
      <c r="J526" s="8"/>
      <c r="K526" s="9"/>
    </row>
    <row r="527">
      <c r="A527" s="9"/>
      <c r="B527" s="9"/>
      <c r="C527" s="9"/>
      <c r="D527" s="9"/>
      <c r="E527" s="9"/>
      <c r="F527" s="10"/>
      <c r="G527" s="10"/>
      <c r="H527" s="9"/>
      <c r="I527" s="9"/>
      <c r="J527" s="8"/>
      <c r="K527" s="9"/>
    </row>
    <row r="528">
      <c r="A528" s="9"/>
      <c r="B528" s="9"/>
      <c r="C528" s="9"/>
      <c r="D528" s="9"/>
      <c r="E528" s="9"/>
      <c r="F528" s="10"/>
      <c r="G528" s="10"/>
      <c r="H528" s="9"/>
      <c r="I528" s="9"/>
      <c r="J528" s="8"/>
      <c r="K528" s="9"/>
    </row>
    <row r="529">
      <c r="A529" s="9"/>
      <c r="B529" s="9"/>
      <c r="C529" s="9"/>
      <c r="D529" s="9"/>
      <c r="E529" s="9"/>
      <c r="F529" s="10"/>
      <c r="G529" s="10"/>
      <c r="H529" s="9"/>
      <c r="I529" s="9"/>
      <c r="J529" s="8"/>
      <c r="K529" s="9"/>
    </row>
    <row r="530">
      <c r="A530" s="9"/>
      <c r="B530" s="9"/>
      <c r="C530" s="9"/>
      <c r="D530" s="9"/>
      <c r="E530" s="9"/>
      <c r="F530" s="10"/>
      <c r="G530" s="10"/>
      <c r="H530" s="9"/>
      <c r="I530" s="9"/>
      <c r="J530" s="8"/>
      <c r="K530" s="9"/>
    </row>
    <row r="531">
      <c r="A531" s="9"/>
      <c r="B531" s="9"/>
      <c r="C531" s="9"/>
      <c r="D531" s="9"/>
      <c r="E531" s="9"/>
      <c r="F531" s="10"/>
      <c r="G531" s="10"/>
      <c r="H531" s="9"/>
      <c r="I531" s="9"/>
      <c r="J531" s="8"/>
      <c r="K531" s="9"/>
    </row>
    <row r="532">
      <c r="A532" s="9"/>
      <c r="B532" s="9"/>
      <c r="C532" s="9"/>
      <c r="D532" s="9"/>
      <c r="E532" s="9"/>
      <c r="F532" s="10"/>
      <c r="G532" s="10"/>
      <c r="H532" s="9"/>
      <c r="I532" s="9"/>
      <c r="J532" s="8"/>
      <c r="K532" s="9"/>
    </row>
    <row r="533">
      <c r="A533" s="9"/>
      <c r="B533" s="9"/>
      <c r="C533" s="9"/>
      <c r="D533" s="9"/>
      <c r="E533" s="9"/>
      <c r="F533" s="10"/>
      <c r="G533" s="10"/>
      <c r="H533" s="9"/>
      <c r="I533" s="9"/>
      <c r="J533" s="8"/>
      <c r="K533" s="9"/>
    </row>
    <row r="534">
      <c r="A534" s="9"/>
      <c r="B534" s="9"/>
      <c r="C534" s="9"/>
      <c r="D534" s="9"/>
      <c r="E534" s="9"/>
      <c r="F534" s="10"/>
      <c r="G534" s="10"/>
      <c r="H534" s="9"/>
      <c r="I534" s="9"/>
      <c r="J534" s="8"/>
      <c r="K534" s="9"/>
    </row>
    <row r="535">
      <c r="A535" s="9"/>
      <c r="B535" s="9"/>
      <c r="C535" s="9"/>
      <c r="D535" s="9"/>
      <c r="E535" s="9"/>
      <c r="F535" s="10"/>
      <c r="G535" s="10"/>
      <c r="H535" s="9"/>
      <c r="I535" s="9"/>
      <c r="J535" s="8"/>
      <c r="K535" s="9"/>
    </row>
    <row r="536">
      <c r="A536" s="9"/>
      <c r="B536" s="9"/>
      <c r="C536" s="9"/>
      <c r="D536" s="9"/>
      <c r="E536" s="9"/>
      <c r="F536" s="10"/>
      <c r="G536" s="10"/>
      <c r="H536" s="9"/>
      <c r="I536" s="9"/>
      <c r="J536" s="8"/>
      <c r="K536" s="9"/>
    </row>
    <row r="537">
      <c r="A537" s="9"/>
      <c r="B537" s="9"/>
      <c r="C537" s="9"/>
      <c r="D537" s="9"/>
      <c r="E537" s="9"/>
      <c r="F537" s="10"/>
      <c r="G537" s="10"/>
      <c r="H537" s="9"/>
      <c r="I537" s="9"/>
      <c r="J537" s="8"/>
      <c r="K537" s="9"/>
    </row>
    <row r="538">
      <c r="A538" s="9"/>
      <c r="B538" s="9"/>
      <c r="C538" s="9"/>
      <c r="D538" s="9"/>
      <c r="E538" s="9"/>
      <c r="F538" s="10"/>
      <c r="G538" s="10"/>
      <c r="H538" s="9"/>
      <c r="I538" s="9"/>
      <c r="J538" s="8"/>
      <c r="K538" s="9"/>
    </row>
    <row r="539">
      <c r="A539" s="9"/>
      <c r="B539" s="9"/>
      <c r="C539" s="9"/>
      <c r="D539" s="9"/>
      <c r="E539" s="9"/>
      <c r="F539" s="10"/>
      <c r="G539" s="10"/>
      <c r="H539" s="9"/>
      <c r="I539" s="9"/>
      <c r="J539" s="8"/>
      <c r="K539" s="9"/>
    </row>
    <row r="540">
      <c r="A540" s="9"/>
      <c r="B540" s="9"/>
      <c r="C540" s="9"/>
      <c r="D540" s="9"/>
      <c r="E540" s="9"/>
      <c r="F540" s="10"/>
      <c r="G540" s="10"/>
      <c r="H540" s="9"/>
      <c r="I540" s="9"/>
      <c r="J540" s="8"/>
      <c r="K540" s="9"/>
    </row>
    <row r="541">
      <c r="A541" s="9"/>
      <c r="B541" s="9"/>
      <c r="C541" s="9"/>
      <c r="D541" s="9"/>
      <c r="E541" s="9"/>
      <c r="F541" s="10"/>
      <c r="G541" s="10"/>
      <c r="H541" s="9"/>
      <c r="I541" s="9"/>
      <c r="J541" s="8"/>
      <c r="K541" s="9"/>
    </row>
    <row r="542">
      <c r="A542" s="9"/>
      <c r="B542" s="9"/>
      <c r="C542" s="9"/>
      <c r="D542" s="9"/>
      <c r="E542" s="9"/>
      <c r="F542" s="10"/>
      <c r="G542" s="10"/>
      <c r="H542" s="9"/>
      <c r="I542" s="9"/>
      <c r="J542" s="8"/>
      <c r="K542" s="9"/>
    </row>
    <row r="543">
      <c r="A543" s="9"/>
      <c r="B543" s="9"/>
      <c r="C543" s="9"/>
      <c r="D543" s="9"/>
      <c r="E543" s="9"/>
      <c r="F543" s="10"/>
      <c r="G543" s="10"/>
      <c r="H543" s="9"/>
      <c r="I543" s="9"/>
      <c r="J543" s="8"/>
      <c r="K543" s="9"/>
    </row>
    <row r="544">
      <c r="A544" s="9"/>
      <c r="B544" s="9"/>
      <c r="C544" s="9"/>
      <c r="D544" s="9"/>
      <c r="E544" s="9"/>
      <c r="F544" s="10"/>
      <c r="G544" s="10"/>
      <c r="H544" s="9"/>
      <c r="I544" s="9"/>
      <c r="J544" s="8"/>
      <c r="K544" s="9"/>
    </row>
    <row r="545">
      <c r="A545" s="9"/>
      <c r="B545" s="9"/>
      <c r="C545" s="9"/>
      <c r="D545" s="9"/>
      <c r="E545" s="9"/>
      <c r="F545" s="10"/>
      <c r="G545" s="10"/>
      <c r="H545" s="9"/>
      <c r="I545" s="9"/>
      <c r="J545" s="8"/>
      <c r="K545" s="9"/>
    </row>
    <row r="546">
      <c r="A546" s="9"/>
      <c r="B546" s="9"/>
      <c r="C546" s="9"/>
      <c r="D546" s="9"/>
      <c r="E546" s="9"/>
      <c r="F546" s="10"/>
      <c r="G546" s="10"/>
      <c r="H546" s="9"/>
      <c r="I546" s="9"/>
      <c r="J546" s="8"/>
      <c r="K546" s="9"/>
    </row>
    <row r="547">
      <c r="A547" s="9"/>
      <c r="B547" s="9"/>
      <c r="C547" s="9"/>
      <c r="D547" s="9"/>
      <c r="E547" s="9"/>
      <c r="F547" s="10"/>
      <c r="G547" s="10"/>
      <c r="H547" s="9"/>
      <c r="I547" s="9"/>
      <c r="J547" s="8"/>
      <c r="K547" s="9"/>
    </row>
    <row r="548">
      <c r="A548" s="9"/>
      <c r="B548" s="9"/>
      <c r="C548" s="9"/>
      <c r="D548" s="9"/>
      <c r="E548" s="9"/>
      <c r="F548" s="10"/>
      <c r="G548" s="10"/>
      <c r="H548" s="9"/>
      <c r="I548" s="9"/>
      <c r="J548" s="8"/>
      <c r="K548" s="9"/>
    </row>
    <row r="549">
      <c r="A549" s="9"/>
      <c r="B549" s="9"/>
      <c r="C549" s="9"/>
      <c r="D549" s="9"/>
      <c r="E549" s="9"/>
      <c r="F549" s="10"/>
      <c r="G549" s="10"/>
      <c r="H549" s="9"/>
      <c r="I549" s="9"/>
      <c r="J549" s="8"/>
      <c r="K549" s="9"/>
    </row>
    <row r="550">
      <c r="A550" s="9"/>
      <c r="B550" s="9"/>
      <c r="C550" s="9"/>
      <c r="D550" s="9"/>
      <c r="E550" s="9"/>
      <c r="F550" s="10"/>
      <c r="G550" s="10"/>
      <c r="H550" s="9"/>
      <c r="I550" s="9"/>
      <c r="J550" s="8"/>
      <c r="K550" s="9"/>
    </row>
    <row r="551">
      <c r="A551" s="9"/>
      <c r="B551" s="9"/>
      <c r="C551" s="9"/>
      <c r="D551" s="9"/>
      <c r="E551" s="9"/>
      <c r="F551" s="10"/>
      <c r="G551" s="10"/>
      <c r="H551" s="9"/>
      <c r="I551" s="9"/>
      <c r="J551" s="8"/>
      <c r="K551" s="9"/>
    </row>
    <row r="552">
      <c r="A552" s="9"/>
      <c r="B552" s="9"/>
      <c r="C552" s="9"/>
      <c r="D552" s="9"/>
      <c r="E552" s="9"/>
      <c r="F552" s="10"/>
      <c r="G552" s="10"/>
      <c r="H552" s="9"/>
      <c r="I552" s="9"/>
      <c r="J552" s="8"/>
      <c r="K552" s="9"/>
    </row>
    <row r="553">
      <c r="A553" s="9"/>
      <c r="B553" s="9"/>
      <c r="C553" s="9"/>
      <c r="D553" s="9"/>
      <c r="E553" s="9"/>
      <c r="F553" s="10"/>
      <c r="G553" s="10"/>
      <c r="H553" s="9"/>
      <c r="I553" s="9"/>
      <c r="J553" s="8"/>
      <c r="K553" s="9"/>
    </row>
    <row r="554">
      <c r="A554" s="9"/>
      <c r="B554" s="9"/>
      <c r="C554" s="9"/>
      <c r="D554" s="9"/>
      <c r="E554" s="9"/>
      <c r="F554" s="10"/>
      <c r="G554" s="10"/>
      <c r="H554" s="9"/>
      <c r="I554" s="9"/>
      <c r="J554" s="8"/>
      <c r="K554" s="9"/>
    </row>
    <row r="555">
      <c r="A555" s="9"/>
      <c r="B555" s="9"/>
      <c r="C555" s="9"/>
      <c r="D555" s="9"/>
      <c r="E555" s="9"/>
      <c r="F555" s="10"/>
      <c r="G555" s="10"/>
      <c r="H555" s="9"/>
      <c r="I555" s="9"/>
      <c r="J555" s="8"/>
      <c r="K555" s="9"/>
    </row>
    <row r="556">
      <c r="A556" s="9"/>
      <c r="B556" s="9"/>
      <c r="C556" s="9"/>
      <c r="D556" s="9"/>
      <c r="E556" s="9"/>
      <c r="F556" s="10"/>
      <c r="G556" s="10"/>
      <c r="H556" s="9"/>
      <c r="I556" s="9"/>
      <c r="J556" s="8"/>
      <c r="K556" s="9"/>
    </row>
    <row r="557">
      <c r="A557" s="9"/>
      <c r="B557" s="9"/>
      <c r="C557" s="9"/>
      <c r="D557" s="9"/>
      <c r="E557" s="9"/>
      <c r="F557" s="10"/>
      <c r="G557" s="10"/>
      <c r="H557" s="9"/>
      <c r="I557" s="9"/>
      <c r="J557" s="8"/>
      <c r="K557" s="9"/>
    </row>
    <row r="558">
      <c r="A558" s="9"/>
      <c r="B558" s="9"/>
      <c r="C558" s="9"/>
      <c r="D558" s="9"/>
      <c r="E558" s="9"/>
      <c r="F558" s="10"/>
      <c r="G558" s="10"/>
      <c r="H558" s="9"/>
      <c r="I558" s="9"/>
      <c r="J558" s="8"/>
      <c r="K558" s="9"/>
    </row>
    <row r="559">
      <c r="A559" s="9"/>
      <c r="B559" s="9"/>
      <c r="C559" s="9"/>
      <c r="D559" s="9"/>
      <c r="E559" s="9"/>
      <c r="F559" s="10"/>
      <c r="G559" s="10"/>
      <c r="H559" s="9"/>
      <c r="I559" s="9"/>
      <c r="J559" s="8"/>
      <c r="K559" s="9"/>
    </row>
    <row r="560">
      <c r="A560" s="9"/>
      <c r="B560" s="9"/>
      <c r="C560" s="9"/>
      <c r="D560" s="9"/>
      <c r="E560" s="9"/>
      <c r="F560" s="10"/>
      <c r="G560" s="10"/>
      <c r="H560" s="9"/>
      <c r="I560" s="9"/>
      <c r="J560" s="8"/>
      <c r="K560" s="9"/>
    </row>
    <row r="561">
      <c r="A561" s="9"/>
      <c r="B561" s="9"/>
      <c r="C561" s="9"/>
      <c r="D561" s="9"/>
      <c r="E561" s="9"/>
      <c r="F561" s="10"/>
      <c r="G561" s="10"/>
      <c r="H561" s="9"/>
      <c r="I561" s="9"/>
      <c r="J561" s="8"/>
      <c r="K561" s="9"/>
    </row>
    <row r="562">
      <c r="A562" s="9"/>
      <c r="B562" s="9"/>
      <c r="C562" s="9"/>
      <c r="D562" s="9"/>
      <c r="E562" s="9"/>
      <c r="F562" s="10"/>
      <c r="G562" s="10"/>
      <c r="H562" s="9"/>
      <c r="I562" s="9"/>
      <c r="J562" s="8"/>
      <c r="K562" s="9"/>
    </row>
    <row r="563">
      <c r="A563" s="9"/>
      <c r="B563" s="9"/>
      <c r="C563" s="9"/>
      <c r="D563" s="9"/>
      <c r="E563" s="9"/>
      <c r="F563" s="10"/>
      <c r="G563" s="10"/>
      <c r="H563" s="9"/>
      <c r="I563" s="9"/>
      <c r="J563" s="8"/>
      <c r="K563" s="9"/>
    </row>
    <row r="564">
      <c r="A564" s="9"/>
      <c r="B564" s="9"/>
      <c r="C564" s="9"/>
      <c r="D564" s="9"/>
      <c r="E564" s="9"/>
      <c r="F564" s="10"/>
      <c r="G564" s="10"/>
      <c r="H564" s="9"/>
      <c r="I564" s="9"/>
      <c r="J564" s="8"/>
      <c r="K564" s="9"/>
    </row>
    <row r="565">
      <c r="A565" s="9"/>
      <c r="B565" s="9"/>
      <c r="C565" s="9"/>
      <c r="D565" s="9"/>
      <c r="E565" s="9"/>
      <c r="F565" s="10"/>
      <c r="G565" s="10"/>
      <c r="H565" s="9"/>
      <c r="I565" s="9"/>
      <c r="J565" s="8"/>
      <c r="K565" s="9"/>
    </row>
    <row r="566">
      <c r="A566" s="9"/>
      <c r="B566" s="9"/>
      <c r="C566" s="9"/>
      <c r="D566" s="9"/>
      <c r="E566" s="9"/>
      <c r="F566" s="10"/>
      <c r="G566" s="10"/>
      <c r="H566" s="9"/>
      <c r="I566" s="9"/>
      <c r="J566" s="8"/>
      <c r="K566" s="9"/>
    </row>
    <row r="567">
      <c r="A567" s="9"/>
      <c r="B567" s="9"/>
      <c r="C567" s="9"/>
      <c r="D567" s="9"/>
      <c r="E567" s="9"/>
      <c r="F567" s="10"/>
      <c r="G567" s="10"/>
      <c r="H567" s="9"/>
      <c r="I567" s="9"/>
      <c r="J567" s="8"/>
      <c r="K567" s="9"/>
    </row>
    <row r="568">
      <c r="A568" s="9"/>
      <c r="B568" s="9"/>
      <c r="C568" s="9"/>
      <c r="D568" s="9"/>
      <c r="E568" s="9"/>
      <c r="F568" s="10"/>
      <c r="G568" s="10"/>
      <c r="H568" s="9"/>
      <c r="I568" s="9"/>
      <c r="J568" s="8"/>
      <c r="K568" s="9"/>
    </row>
    <row r="569">
      <c r="A569" s="9"/>
      <c r="B569" s="9"/>
      <c r="C569" s="9"/>
      <c r="D569" s="9"/>
      <c r="E569" s="9"/>
      <c r="F569" s="10"/>
      <c r="G569" s="10"/>
      <c r="H569" s="9"/>
      <c r="I569" s="9"/>
      <c r="J569" s="8"/>
      <c r="K569" s="9"/>
    </row>
    <row r="570">
      <c r="A570" s="9"/>
      <c r="B570" s="9"/>
      <c r="C570" s="9"/>
      <c r="D570" s="9"/>
      <c r="E570" s="9"/>
      <c r="F570" s="10"/>
      <c r="G570" s="10"/>
      <c r="H570" s="9"/>
      <c r="I570" s="9"/>
      <c r="J570" s="8"/>
      <c r="K570" s="9"/>
    </row>
    <row r="571">
      <c r="A571" s="9"/>
      <c r="B571" s="9"/>
      <c r="C571" s="9"/>
      <c r="D571" s="9"/>
      <c r="E571" s="9"/>
      <c r="F571" s="10"/>
      <c r="G571" s="10"/>
      <c r="H571" s="9"/>
      <c r="I571" s="9"/>
      <c r="J571" s="8"/>
      <c r="K571" s="9"/>
    </row>
    <row r="572">
      <c r="A572" s="9"/>
      <c r="B572" s="9"/>
      <c r="C572" s="9"/>
      <c r="D572" s="9"/>
      <c r="E572" s="9"/>
      <c r="F572" s="10"/>
      <c r="G572" s="10"/>
      <c r="H572" s="9"/>
      <c r="I572" s="9"/>
      <c r="J572" s="8"/>
      <c r="K572" s="9"/>
    </row>
    <row r="573">
      <c r="A573" s="9"/>
      <c r="B573" s="9"/>
      <c r="C573" s="9"/>
      <c r="D573" s="9"/>
      <c r="E573" s="9"/>
      <c r="F573" s="10"/>
      <c r="G573" s="10"/>
      <c r="H573" s="9"/>
      <c r="I573" s="9"/>
      <c r="J573" s="8"/>
      <c r="K573" s="9"/>
    </row>
    <row r="574">
      <c r="A574" s="9"/>
      <c r="B574" s="9"/>
      <c r="C574" s="9"/>
      <c r="D574" s="9"/>
      <c r="E574" s="9"/>
      <c r="F574" s="10"/>
      <c r="G574" s="10"/>
      <c r="H574" s="9"/>
      <c r="I574" s="9"/>
      <c r="J574" s="8"/>
      <c r="K574" s="9"/>
    </row>
    <row r="575">
      <c r="A575" s="9"/>
      <c r="B575" s="9"/>
      <c r="C575" s="9"/>
      <c r="D575" s="9"/>
      <c r="E575" s="9"/>
      <c r="F575" s="10"/>
      <c r="G575" s="10"/>
      <c r="H575" s="9"/>
      <c r="I575" s="9"/>
      <c r="J575" s="8"/>
      <c r="K575" s="9"/>
    </row>
    <row r="576">
      <c r="A576" s="9"/>
      <c r="B576" s="9"/>
      <c r="C576" s="9"/>
      <c r="D576" s="9"/>
      <c r="E576" s="9"/>
      <c r="F576" s="10"/>
      <c r="G576" s="10"/>
      <c r="H576" s="9"/>
      <c r="I576" s="9"/>
      <c r="J576" s="8"/>
      <c r="K576" s="9"/>
    </row>
    <row r="577">
      <c r="A577" s="9"/>
      <c r="B577" s="9"/>
      <c r="C577" s="9"/>
      <c r="D577" s="9"/>
      <c r="E577" s="9"/>
      <c r="F577" s="10"/>
      <c r="G577" s="10"/>
      <c r="H577" s="9"/>
      <c r="I577" s="9"/>
      <c r="J577" s="8"/>
      <c r="K577" s="9"/>
    </row>
    <row r="578">
      <c r="A578" s="9"/>
      <c r="B578" s="9"/>
      <c r="C578" s="9"/>
      <c r="D578" s="9"/>
      <c r="E578" s="9"/>
      <c r="F578" s="10"/>
      <c r="G578" s="10"/>
      <c r="H578" s="9"/>
      <c r="I578" s="9"/>
      <c r="J578" s="8"/>
      <c r="K578" s="9"/>
    </row>
    <row r="579">
      <c r="A579" s="9"/>
      <c r="B579" s="9"/>
      <c r="C579" s="9"/>
      <c r="D579" s="9"/>
      <c r="E579" s="9"/>
      <c r="F579" s="10"/>
      <c r="G579" s="10"/>
      <c r="H579" s="9"/>
      <c r="I579" s="9"/>
      <c r="J579" s="8"/>
      <c r="K579" s="9"/>
    </row>
    <row r="580">
      <c r="A580" s="9"/>
      <c r="B580" s="9"/>
      <c r="C580" s="9"/>
      <c r="D580" s="9"/>
      <c r="E580" s="9"/>
      <c r="F580" s="10"/>
      <c r="G580" s="10"/>
      <c r="H580" s="9"/>
      <c r="I580" s="9"/>
      <c r="J580" s="8"/>
      <c r="K580" s="9"/>
    </row>
    <row r="581">
      <c r="A581" s="9"/>
      <c r="B581" s="9"/>
      <c r="C581" s="9"/>
      <c r="D581" s="9"/>
      <c r="E581" s="9"/>
      <c r="F581" s="10"/>
      <c r="G581" s="10"/>
      <c r="H581" s="9"/>
      <c r="I581" s="9"/>
      <c r="J581" s="8"/>
      <c r="K581" s="9"/>
    </row>
    <row r="582">
      <c r="A582" s="9"/>
      <c r="B582" s="9"/>
      <c r="C582" s="9"/>
      <c r="D582" s="9"/>
      <c r="E582" s="9"/>
      <c r="F582" s="10"/>
      <c r="G582" s="10"/>
      <c r="H582" s="9"/>
      <c r="I582" s="9"/>
      <c r="J582" s="8"/>
      <c r="K582" s="9"/>
    </row>
    <row r="583">
      <c r="A583" s="9"/>
      <c r="B583" s="9"/>
      <c r="C583" s="9"/>
      <c r="D583" s="9"/>
      <c r="E583" s="9"/>
      <c r="F583" s="10"/>
      <c r="G583" s="10"/>
      <c r="H583" s="9"/>
      <c r="I583" s="9"/>
      <c r="J583" s="8"/>
      <c r="K583" s="9"/>
    </row>
    <row r="584">
      <c r="A584" s="9"/>
      <c r="B584" s="9"/>
      <c r="C584" s="9"/>
      <c r="D584" s="9"/>
      <c r="E584" s="9"/>
      <c r="F584" s="10"/>
      <c r="G584" s="10"/>
      <c r="H584" s="9"/>
      <c r="I584" s="9"/>
      <c r="J584" s="8"/>
      <c r="K584" s="9"/>
    </row>
    <row r="585">
      <c r="A585" s="9"/>
      <c r="B585" s="9"/>
      <c r="C585" s="9"/>
      <c r="D585" s="9"/>
      <c r="E585" s="9"/>
      <c r="F585" s="10"/>
      <c r="G585" s="10"/>
      <c r="H585" s="9"/>
      <c r="I585" s="9"/>
      <c r="J585" s="8"/>
      <c r="K585" s="9"/>
    </row>
    <row r="586">
      <c r="A586" s="9"/>
      <c r="B586" s="9"/>
      <c r="C586" s="9"/>
      <c r="D586" s="9"/>
      <c r="E586" s="9"/>
      <c r="F586" s="10"/>
      <c r="G586" s="10"/>
      <c r="H586" s="9"/>
      <c r="I586" s="9"/>
      <c r="J586" s="8"/>
      <c r="K586" s="9"/>
    </row>
    <row r="587">
      <c r="A587" s="9"/>
      <c r="B587" s="9"/>
      <c r="C587" s="9"/>
      <c r="D587" s="9"/>
      <c r="E587" s="9"/>
      <c r="F587" s="10"/>
      <c r="G587" s="10"/>
      <c r="H587" s="9"/>
      <c r="I587" s="9"/>
      <c r="J587" s="8"/>
      <c r="K587" s="9"/>
    </row>
    <row r="588">
      <c r="A588" s="9"/>
      <c r="B588" s="9"/>
      <c r="C588" s="9"/>
      <c r="D588" s="9"/>
      <c r="E588" s="9"/>
      <c r="F588" s="10"/>
      <c r="G588" s="10"/>
      <c r="H588" s="9"/>
      <c r="I588" s="9"/>
      <c r="J588" s="8"/>
      <c r="K588" s="9"/>
    </row>
    <row r="589">
      <c r="A589" s="9"/>
      <c r="B589" s="9"/>
      <c r="C589" s="9"/>
      <c r="D589" s="9"/>
      <c r="E589" s="9"/>
      <c r="F589" s="10"/>
      <c r="G589" s="10"/>
      <c r="H589" s="9"/>
      <c r="I589" s="9"/>
      <c r="J589" s="8"/>
      <c r="K589" s="9"/>
    </row>
    <row r="590">
      <c r="A590" s="9"/>
      <c r="B590" s="9"/>
      <c r="C590" s="9"/>
      <c r="D590" s="9"/>
      <c r="E590" s="9"/>
      <c r="F590" s="10"/>
      <c r="G590" s="10"/>
      <c r="H590" s="9"/>
      <c r="I590" s="9"/>
      <c r="J590" s="8"/>
      <c r="K590" s="9"/>
    </row>
    <row r="591">
      <c r="A591" s="9"/>
      <c r="B591" s="9"/>
      <c r="C591" s="9"/>
      <c r="D591" s="9"/>
      <c r="E591" s="9"/>
      <c r="F591" s="10"/>
      <c r="G591" s="10"/>
      <c r="H591" s="9"/>
      <c r="I591" s="9"/>
      <c r="J591" s="8"/>
      <c r="K591" s="9"/>
    </row>
    <row r="592">
      <c r="A592" s="9"/>
      <c r="B592" s="9"/>
      <c r="C592" s="9"/>
      <c r="D592" s="9"/>
      <c r="E592" s="9"/>
      <c r="F592" s="10"/>
      <c r="G592" s="10"/>
      <c r="H592" s="9"/>
      <c r="I592" s="9"/>
      <c r="J592" s="8"/>
      <c r="K592" s="9"/>
    </row>
    <row r="593">
      <c r="A593" s="9"/>
      <c r="B593" s="9"/>
      <c r="C593" s="9"/>
      <c r="D593" s="9"/>
      <c r="E593" s="9"/>
      <c r="F593" s="10"/>
      <c r="G593" s="10"/>
      <c r="H593" s="9"/>
      <c r="I593" s="9"/>
      <c r="J593" s="8"/>
      <c r="K593" s="9"/>
    </row>
    <row r="594">
      <c r="A594" s="9"/>
      <c r="B594" s="9"/>
      <c r="C594" s="9"/>
      <c r="D594" s="9"/>
      <c r="E594" s="9"/>
      <c r="F594" s="10"/>
      <c r="G594" s="10"/>
      <c r="H594" s="9"/>
      <c r="I594" s="9"/>
      <c r="J594" s="8"/>
      <c r="K594" s="9"/>
    </row>
    <row r="595">
      <c r="A595" s="9"/>
      <c r="B595" s="9"/>
      <c r="C595" s="9"/>
      <c r="D595" s="9"/>
      <c r="E595" s="9"/>
      <c r="F595" s="10"/>
      <c r="G595" s="10"/>
      <c r="H595" s="9"/>
      <c r="I595" s="9"/>
      <c r="J595" s="8"/>
      <c r="K595" s="9"/>
    </row>
    <row r="596">
      <c r="A596" s="9"/>
      <c r="B596" s="9"/>
      <c r="C596" s="9"/>
      <c r="D596" s="9"/>
      <c r="E596" s="9"/>
      <c r="F596" s="10"/>
      <c r="G596" s="10"/>
      <c r="H596" s="9"/>
      <c r="I596" s="9"/>
      <c r="J596" s="8"/>
      <c r="K596" s="9"/>
    </row>
    <row r="597">
      <c r="A597" s="9"/>
      <c r="B597" s="9"/>
      <c r="C597" s="9"/>
      <c r="D597" s="9"/>
      <c r="E597" s="9"/>
      <c r="F597" s="10"/>
      <c r="G597" s="10"/>
      <c r="H597" s="9"/>
      <c r="I597" s="9"/>
      <c r="J597" s="8"/>
      <c r="K597" s="9"/>
    </row>
    <row r="598">
      <c r="A598" s="9"/>
      <c r="B598" s="9"/>
      <c r="C598" s="9"/>
      <c r="D598" s="9"/>
      <c r="E598" s="9"/>
      <c r="F598" s="10"/>
      <c r="G598" s="10"/>
      <c r="H598" s="9"/>
      <c r="I598" s="9"/>
      <c r="J598" s="8"/>
      <c r="K598" s="9"/>
    </row>
    <row r="599">
      <c r="A599" s="9"/>
      <c r="B599" s="9"/>
      <c r="C599" s="9"/>
      <c r="D599" s="9"/>
      <c r="E599" s="9"/>
      <c r="F599" s="10"/>
      <c r="G599" s="10"/>
      <c r="H599" s="9"/>
      <c r="I599" s="9"/>
      <c r="J599" s="8"/>
      <c r="K599" s="9"/>
    </row>
    <row r="600">
      <c r="A600" s="9"/>
      <c r="B600" s="9"/>
      <c r="C600" s="9"/>
      <c r="D600" s="9"/>
      <c r="E600" s="9"/>
      <c r="F600" s="10"/>
      <c r="G600" s="10"/>
      <c r="H600" s="9"/>
      <c r="I600" s="9"/>
      <c r="J600" s="8"/>
      <c r="K600" s="9"/>
    </row>
    <row r="601">
      <c r="A601" s="9"/>
      <c r="B601" s="9"/>
      <c r="C601" s="9"/>
      <c r="D601" s="9"/>
      <c r="E601" s="9"/>
      <c r="F601" s="10"/>
      <c r="G601" s="10"/>
      <c r="H601" s="9"/>
      <c r="I601" s="9"/>
      <c r="J601" s="8"/>
      <c r="K601" s="9"/>
    </row>
    <row r="602">
      <c r="A602" s="9"/>
      <c r="B602" s="9"/>
      <c r="C602" s="9"/>
      <c r="D602" s="9"/>
      <c r="E602" s="9"/>
      <c r="F602" s="10"/>
      <c r="G602" s="10"/>
      <c r="H602" s="9"/>
      <c r="I602" s="9"/>
      <c r="J602" s="8"/>
      <c r="K602" s="9"/>
    </row>
    <row r="603">
      <c r="A603" s="9"/>
      <c r="B603" s="9"/>
      <c r="C603" s="9"/>
      <c r="D603" s="9"/>
      <c r="E603" s="9"/>
      <c r="F603" s="10"/>
      <c r="G603" s="10"/>
      <c r="H603" s="9"/>
      <c r="I603" s="9"/>
      <c r="J603" s="8"/>
      <c r="K603" s="9"/>
    </row>
    <row r="604">
      <c r="A604" s="9"/>
      <c r="B604" s="9"/>
      <c r="C604" s="9"/>
      <c r="D604" s="9"/>
      <c r="E604" s="9"/>
      <c r="F604" s="10"/>
      <c r="G604" s="10"/>
      <c r="H604" s="9"/>
      <c r="I604" s="9"/>
      <c r="J604" s="8"/>
      <c r="K604" s="9"/>
    </row>
    <row r="605">
      <c r="A605" s="9"/>
      <c r="B605" s="9"/>
      <c r="C605" s="9"/>
      <c r="D605" s="9"/>
      <c r="E605" s="9"/>
      <c r="F605" s="10"/>
      <c r="G605" s="10"/>
      <c r="H605" s="9"/>
      <c r="I605" s="9"/>
      <c r="J605" s="8"/>
      <c r="K605" s="9"/>
    </row>
    <row r="606">
      <c r="A606" s="9"/>
      <c r="B606" s="9"/>
      <c r="C606" s="9"/>
      <c r="D606" s="9"/>
      <c r="E606" s="9"/>
      <c r="F606" s="10"/>
      <c r="G606" s="10"/>
      <c r="H606" s="9"/>
      <c r="I606" s="9"/>
      <c r="J606" s="8"/>
      <c r="K606" s="9"/>
    </row>
    <row r="607">
      <c r="A607" s="9"/>
      <c r="B607" s="9"/>
      <c r="C607" s="9"/>
      <c r="D607" s="9"/>
      <c r="E607" s="9"/>
      <c r="F607" s="10"/>
      <c r="G607" s="10"/>
      <c r="H607" s="9"/>
      <c r="I607" s="9"/>
      <c r="J607" s="8"/>
      <c r="K607" s="9"/>
    </row>
    <row r="608">
      <c r="A608" s="9"/>
      <c r="B608" s="9"/>
      <c r="C608" s="9"/>
      <c r="D608" s="9"/>
      <c r="E608" s="9"/>
      <c r="F608" s="10"/>
      <c r="G608" s="10"/>
      <c r="H608" s="9"/>
      <c r="I608" s="9"/>
      <c r="J608" s="8"/>
      <c r="K608" s="9"/>
    </row>
    <row r="609">
      <c r="A609" s="9"/>
      <c r="B609" s="9"/>
      <c r="C609" s="9"/>
      <c r="D609" s="9"/>
      <c r="E609" s="9"/>
      <c r="F609" s="10"/>
      <c r="G609" s="10"/>
      <c r="H609" s="9"/>
      <c r="I609" s="9"/>
      <c r="J609" s="8"/>
      <c r="K609" s="9"/>
    </row>
    <row r="610">
      <c r="A610" s="9"/>
      <c r="B610" s="9"/>
      <c r="C610" s="9"/>
      <c r="D610" s="9"/>
      <c r="E610" s="9"/>
      <c r="F610" s="10"/>
      <c r="G610" s="10"/>
      <c r="H610" s="9"/>
      <c r="I610" s="9"/>
      <c r="J610" s="8"/>
      <c r="K610" s="9"/>
    </row>
    <row r="611">
      <c r="A611" s="9"/>
      <c r="B611" s="9"/>
      <c r="C611" s="9"/>
      <c r="D611" s="9"/>
      <c r="E611" s="9"/>
      <c r="F611" s="10"/>
      <c r="G611" s="10"/>
      <c r="H611" s="9"/>
      <c r="I611" s="9"/>
      <c r="J611" s="8"/>
      <c r="K611" s="9"/>
    </row>
    <row r="612">
      <c r="A612" s="9"/>
      <c r="B612" s="9"/>
      <c r="C612" s="9"/>
      <c r="D612" s="9"/>
      <c r="E612" s="9"/>
      <c r="F612" s="10"/>
      <c r="G612" s="10"/>
      <c r="H612" s="9"/>
      <c r="I612" s="9"/>
      <c r="J612" s="8"/>
      <c r="K612" s="9"/>
    </row>
    <row r="613">
      <c r="A613" s="9"/>
      <c r="B613" s="9"/>
      <c r="C613" s="9"/>
      <c r="D613" s="9"/>
      <c r="E613" s="9"/>
      <c r="F613" s="10"/>
      <c r="G613" s="10"/>
      <c r="H613" s="9"/>
      <c r="I613" s="9"/>
      <c r="J613" s="8"/>
      <c r="K613" s="9"/>
    </row>
    <row r="614">
      <c r="A614" s="9"/>
      <c r="B614" s="9"/>
      <c r="C614" s="9"/>
      <c r="D614" s="9"/>
      <c r="E614" s="9"/>
      <c r="F614" s="10"/>
      <c r="G614" s="10"/>
      <c r="H614" s="9"/>
      <c r="I614" s="9"/>
      <c r="J614" s="8"/>
      <c r="K614" s="9"/>
    </row>
    <row r="615">
      <c r="A615" s="9"/>
      <c r="B615" s="9"/>
      <c r="C615" s="9"/>
      <c r="D615" s="9"/>
      <c r="E615" s="9"/>
      <c r="F615" s="10"/>
      <c r="G615" s="10"/>
      <c r="H615" s="9"/>
      <c r="I615" s="9"/>
      <c r="J615" s="8"/>
      <c r="K615" s="9"/>
    </row>
    <row r="616">
      <c r="A616" s="9"/>
      <c r="B616" s="9"/>
      <c r="C616" s="9"/>
      <c r="D616" s="9"/>
      <c r="E616" s="9"/>
      <c r="F616" s="10"/>
      <c r="G616" s="10"/>
      <c r="H616" s="9"/>
      <c r="I616" s="9"/>
      <c r="J616" s="8"/>
      <c r="K616" s="9"/>
    </row>
    <row r="617">
      <c r="A617" s="9"/>
      <c r="B617" s="9"/>
      <c r="C617" s="9"/>
      <c r="D617" s="9"/>
      <c r="E617" s="9"/>
      <c r="F617" s="10"/>
      <c r="G617" s="10"/>
      <c r="H617" s="9"/>
      <c r="I617" s="9"/>
      <c r="J617" s="8"/>
      <c r="K617" s="9"/>
    </row>
    <row r="618">
      <c r="A618" s="9"/>
      <c r="B618" s="9"/>
      <c r="C618" s="9"/>
      <c r="D618" s="9"/>
      <c r="E618" s="9"/>
      <c r="F618" s="10"/>
      <c r="G618" s="10"/>
      <c r="H618" s="9"/>
      <c r="I618" s="9"/>
      <c r="J618" s="8"/>
      <c r="K618" s="9"/>
    </row>
    <row r="619">
      <c r="A619" s="9"/>
      <c r="B619" s="9"/>
      <c r="C619" s="9"/>
      <c r="D619" s="9"/>
      <c r="E619" s="9"/>
      <c r="F619" s="10"/>
      <c r="G619" s="10"/>
      <c r="H619" s="9"/>
      <c r="I619" s="9"/>
      <c r="J619" s="8"/>
      <c r="K619" s="9"/>
    </row>
    <row r="620">
      <c r="A620" s="9"/>
      <c r="B620" s="9"/>
      <c r="C620" s="9"/>
      <c r="D620" s="9"/>
      <c r="E620" s="9"/>
      <c r="F620" s="10"/>
      <c r="G620" s="10"/>
      <c r="H620" s="9"/>
      <c r="I620" s="9"/>
      <c r="J620" s="8"/>
      <c r="K620" s="9"/>
    </row>
    <row r="621">
      <c r="A621" s="9"/>
      <c r="B621" s="9"/>
      <c r="C621" s="9"/>
      <c r="D621" s="9"/>
      <c r="E621" s="9"/>
      <c r="F621" s="10"/>
      <c r="G621" s="10"/>
      <c r="H621" s="9"/>
      <c r="I621" s="9"/>
      <c r="J621" s="8"/>
      <c r="K621" s="9"/>
    </row>
    <row r="622">
      <c r="A622" s="9"/>
      <c r="B622" s="9"/>
      <c r="C622" s="9"/>
      <c r="D622" s="9"/>
      <c r="E622" s="9"/>
      <c r="F622" s="10"/>
      <c r="G622" s="10"/>
      <c r="H622" s="9"/>
      <c r="I622" s="9"/>
      <c r="J622" s="8"/>
      <c r="K622" s="9"/>
    </row>
    <row r="623">
      <c r="A623" s="9"/>
      <c r="B623" s="9"/>
      <c r="C623" s="9"/>
      <c r="D623" s="9"/>
      <c r="E623" s="9"/>
      <c r="F623" s="10"/>
      <c r="G623" s="10"/>
      <c r="H623" s="9"/>
      <c r="I623" s="9"/>
      <c r="J623" s="8"/>
      <c r="K623" s="9"/>
    </row>
    <row r="624">
      <c r="A624" s="9"/>
      <c r="B624" s="9"/>
      <c r="C624" s="9"/>
      <c r="D624" s="9"/>
      <c r="E624" s="9"/>
      <c r="F624" s="10"/>
      <c r="G624" s="10"/>
      <c r="H624" s="9"/>
      <c r="I624" s="9"/>
      <c r="J624" s="8"/>
      <c r="K624" s="9"/>
    </row>
    <row r="625">
      <c r="A625" s="9"/>
      <c r="B625" s="9"/>
      <c r="C625" s="9"/>
      <c r="D625" s="9"/>
      <c r="E625" s="9"/>
      <c r="F625" s="10"/>
      <c r="G625" s="10"/>
      <c r="H625" s="9"/>
      <c r="I625" s="9"/>
      <c r="J625" s="8"/>
      <c r="K625" s="9"/>
    </row>
    <row r="626">
      <c r="A626" s="9"/>
      <c r="B626" s="9"/>
      <c r="C626" s="9"/>
      <c r="D626" s="9"/>
      <c r="E626" s="9"/>
      <c r="F626" s="10"/>
      <c r="G626" s="10"/>
      <c r="H626" s="9"/>
      <c r="I626" s="9"/>
      <c r="J626" s="8"/>
      <c r="K626" s="9"/>
    </row>
    <row r="627">
      <c r="A627" s="9"/>
      <c r="B627" s="9"/>
      <c r="C627" s="9"/>
      <c r="D627" s="9"/>
      <c r="E627" s="9"/>
      <c r="F627" s="10"/>
      <c r="G627" s="10"/>
      <c r="H627" s="9"/>
      <c r="I627" s="9"/>
      <c r="J627" s="8"/>
      <c r="K627" s="9"/>
    </row>
    <row r="628">
      <c r="A628" s="9"/>
      <c r="B628" s="9"/>
      <c r="C628" s="9"/>
      <c r="D628" s="9"/>
      <c r="E628" s="9"/>
      <c r="F628" s="10"/>
      <c r="G628" s="10"/>
      <c r="H628" s="9"/>
      <c r="I628" s="9"/>
      <c r="J628" s="8"/>
      <c r="K628" s="9"/>
    </row>
    <row r="629">
      <c r="A629" s="9"/>
      <c r="B629" s="9"/>
      <c r="C629" s="9"/>
      <c r="D629" s="9"/>
      <c r="E629" s="9"/>
      <c r="F629" s="10"/>
      <c r="G629" s="10"/>
      <c r="H629" s="9"/>
      <c r="I629" s="9"/>
      <c r="J629" s="8"/>
      <c r="K629" s="9"/>
    </row>
    <row r="630">
      <c r="A630" s="9"/>
      <c r="B630" s="9"/>
      <c r="C630" s="9"/>
      <c r="D630" s="9"/>
      <c r="E630" s="9"/>
      <c r="F630" s="10"/>
      <c r="G630" s="10"/>
      <c r="H630" s="9"/>
      <c r="I630" s="9"/>
      <c r="J630" s="8"/>
      <c r="K630" s="9"/>
    </row>
    <row r="631">
      <c r="A631" s="9"/>
      <c r="B631" s="9"/>
      <c r="C631" s="9"/>
      <c r="D631" s="9"/>
      <c r="E631" s="9"/>
      <c r="F631" s="10"/>
      <c r="G631" s="10"/>
      <c r="H631" s="9"/>
      <c r="I631" s="9"/>
      <c r="J631" s="8"/>
      <c r="K631" s="9"/>
    </row>
    <row r="632">
      <c r="A632" s="9"/>
      <c r="B632" s="9"/>
      <c r="C632" s="9"/>
      <c r="D632" s="9"/>
      <c r="E632" s="9"/>
      <c r="F632" s="10"/>
      <c r="G632" s="10"/>
      <c r="H632" s="9"/>
      <c r="I632" s="9"/>
      <c r="J632" s="8"/>
      <c r="K632" s="9"/>
    </row>
    <row r="633">
      <c r="A633" s="9"/>
      <c r="B633" s="9"/>
      <c r="C633" s="9"/>
      <c r="D633" s="9"/>
      <c r="E633" s="9"/>
      <c r="F633" s="10"/>
      <c r="G633" s="10"/>
      <c r="H633" s="9"/>
      <c r="I633" s="9"/>
      <c r="J633" s="8"/>
      <c r="K633" s="9"/>
    </row>
    <row r="634">
      <c r="A634" s="9"/>
      <c r="B634" s="9"/>
      <c r="C634" s="9"/>
      <c r="D634" s="9"/>
      <c r="E634" s="9"/>
      <c r="F634" s="10"/>
      <c r="G634" s="10"/>
      <c r="H634" s="9"/>
      <c r="I634" s="9"/>
      <c r="J634" s="8"/>
      <c r="K634" s="9"/>
    </row>
    <row r="635">
      <c r="A635" s="9"/>
      <c r="B635" s="9"/>
      <c r="C635" s="9"/>
      <c r="D635" s="9"/>
      <c r="E635" s="9"/>
      <c r="F635" s="10"/>
      <c r="G635" s="10"/>
      <c r="H635" s="9"/>
      <c r="I635" s="9"/>
      <c r="J635" s="8"/>
      <c r="K635" s="9"/>
    </row>
    <row r="636">
      <c r="A636" s="9"/>
      <c r="B636" s="9"/>
      <c r="C636" s="9"/>
      <c r="D636" s="9"/>
      <c r="E636" s="9"/>
      <c r="F636" s="10"/>
      <c r="G636" s="10"/>
      <c r="H636" s="9"/>
      <c r="I636" s="9"/>
      <c r="J636" s="8"/>
      <c r="K636" s="9"/>
    </row>
    <row r="637">
      <c r="A637" s="9"/>
      <c r="B637" s="9"/>
      <c r="C637" s="9"/>
      <c r="D637" s="9"/>
      <c r="E637" s="9"/>
      <c r="F637" s="10"/>
      <c r="G637" s="10"/>
      <c r="H637" s="9"/>
      <c r="I637" s="9"/>
      <c r="J637" s="8"/>
      <c r="K637" s="9"/>
    </row>
    <row r="638">
      <c r="A638" s="9"/>
      <c r="B638" s="9"/>
      <c r="C638" s="9"/>
      <c r="D638" s="9"/>
      <c r="E638" s="9"/>
      <c r="F638" s="10"/>
      <c r="G638" s="10"/>
      <c r="H638" s="9"/>
      <c r="I638" s="9"/>
      <c r="J638" s="8"/>
      <c r="K638" s="9"/>
    </row>
    <row r="639">
      <c r="A639" s="9"/>
      <c r="B639" s="9"/>
      <c r="C639" s="9"/>
      <c r="D639" s="9"/>
      <c r="E639" s="9"/>
      <c r="F639" s="10"/>
      <c r="G639" s="10"/>
      <c r="H639" s="9"/>
      <c r="I639" s="9"/>
      <c r="J639" s="8"/>
      <c r="K639" s="9"/>
    </row>
    <row r="640">
      <c r="A640" s="9"/>
      <c r="B640" s="9"/>
      <c r="C640" s="9"/>
      <c r="D640" s="9"/>
      <c r="E640" s="9"/>
      <c r="F640" s="10"/>
      <c r="G640" s="10"/>
      <c r="H640" s="9"/>
      <c r="I640" s="9"/>
      <c r="J640" s="8"/>
      <c r="K640" s="9"/>
    </row>
    <row r="641">
      <c r="A641" s="9"/>
      <c r="B641" s="9"/>
      <c r="C641" s="9"/>
      <c r="D641" s="9"/>
      <c r="E641" s="9"/>
      <c r="F641" s="10"/>
      <c r="G641" s="10"/>
      <c r="H641" s="9"/>
      <c r="I641" s="9"/>
      <c r="J641" s="8"/>
      <c r="K641" s="9"/>
    </row>
    <row r="642">
      <c r="A642" s="9"/>
      <c r="B642" s="9"/>
      <c r="C642" s="9"/>
      <c r="D642" s="9"/>
      <c r="E642" s="9"/>
      <c r="F642" s="10"/>
      <c r="G642" s="10"/>
      <c r="H642" s="9"/>
      <c r="I642" s="9"/>
      <c r="J642" s="8"/>
      <c r="K642" s="9"/>
    </row>
    <row r="643">
      <c r="A643" s="9"/>
      <c r="B643" s="9"/>
      <c r="C643" s="9"/>
      <c r="D643" s="9"/>
      <c r="E643" s="9"/>
      <c r="F643" s="10"/>
      <c r="G643" s="10"/>
      <c r="H643" s="9"/>
      <c r="I643" s="9"/>
      <c r="J643" s="8"/>
      <c r="K643" s="9"/>
    </row>
    <row r="644">
      <c r="A644" s="9"/>
      <c r="B644" s="9"/>
      <c r="C644" s="9"/>
      <c r="D644" s="9"/>
      <c r="E644" s="9"/>
      <c r="F644" s="10"/>
      <c r="G644" s="10"/>
      <c r="H644" s="9"/>
      <c r="I644" s="9"/>
      <c r="J644" s="8"/>
      <c r="K644" s="9"/>
    </row>
    <row r="645">
      <c r="A645" s="9"/>
      <c r="B645" s="9"/>
      <c r="C645" s="9"/>
      <c r="D645" s="9"/>
      <c r="E645" s="9"/>
      <c r="F645" s="10"/>
      <c r="G645" s="10"/>
      <c r="H645" s="9"/>
      <c r="I645" s="9"/>
      <c r="J645" s="8"/>
      <c r="K645" s="9"/>
    </row>
    <row r="646">
      <c r="A646" s="9"/>
      <c r="B646" s="9"/>
      <c r="C646" s="9"/>
      <c r="D646" s="9"/>
      <c r="E646" s="9"/>
      <c r="F646" s="10"/>
      <c r="G646" s="10"/>
      <c r="H646" s="9"/>
      <c r="I646" s="9"/>
      <c r="J646" s="8"/>
      <c r="K646" s="9"/>
    </row>
    <row r="647">
      <c r="A647" s="9"/>
      <c r="B647" s="9"/>
      <c r="C647" s="9"/>
      <c r="D647" s="9"/>
      <c r="E647" s="9"/>
      <c r="F647" s="10"/>
      <c r="G647" s="10"/>
      <c r="H647" s="9"/>
      <c r="I647" s="9"/>
      <c r="J647" s="8"/>
      <c r="K647" s="9"/>
    </row>
    <row r="648">
      <c r="A648" s="9"/>
      <c r="B648" s="9"/>
      <c r="C648" s="9"/>
      <c r="D648" s="9"/>
      <c r="E648" s="9"/>
      <c r="F648" s="10"/>
      <c r="G648" s="10"/>
      <c r="H648" s="9"/>
      <c r="I648" s="9"/>
      <c r="J648" s="8"/>
      <c r="K648" s="9"/>
    </row>
    <row r="649">
      <c r="A649" s="9"/>
      <c r="B649" s="9"/>
      <c r="C649" s="9"/>
      <c r="D649" s="9"/>
      <c r="E649" s="9"/>
      <c r="F649" s="10"/>
      <c r="G649" s="10"/>
      <c r="H649" s="9"/>
      <c r="I649" s="9"/>
      <c r="J649" s="8"/>
      <c r="K649" s="9"/>
    </row>
    <row r="650">
      <c r="A650" s="9"/>
      <c r="B650" s="9"/>
      <c r="C650" s="9"/>
      <c r="D650" s="9"/>
      <c r="E650" s="9"/>
      <c r="F650" s="10"/>
      <c r="G650" s="10"/>
      <c r="H650" s="9"/>
      <c r="I650" s="9"/>
      <c r="J650" s="8"/>
      <c r="K650" s="9"/>
    </row>
    <row r="651">
      <c r="A651" s="9"/>
      <c r="B651" s="9"/>
      <c r="C651" s="9"/>
      <c r="D651" s="9"/>
      <c r="E651" s="9"/>
      <c r="F651" s="10"/>
      <c r="G651" s="10"/>
      <c r="H651" s="9"/>
      <c r="I651" s="9"/>
      <c r="J651" s="8"/>
      <c r="K651" s="9"/>
    </row>
    <row r="652">
      <c r="A652" s="9"/>
      <c r="B652" s="9"/>
      <c r="C652" s="9"/>
      <c r="D652" s="9"/>
      <c r="E652" s="9"/>
      <c r="F652" s="10"/>
      <c r="G652" s="10"/>
      <c r="H652" s="9"/>
      <c r="I652" s="9"/>
      <c r="J652" s="8"/>
      <c r="K652" s="9"/>
    </row>
    <row r="653">
      <c r="A653" s="9"/>
      <c r="B653" s="9"/>
      <c r="C653" s="9"/>
      <c r="D653" s="9"/>
      <c r="E653" s="9"/>
      <c r="F653" s="10"/>
      <c r="G653" s="10"/>
      <c r="H653" s="9"/>
      <c r="I653" s="9"/>
      <c r="J653" s="8"/>
      <c r="K653" s="9"/>
    </row>
    <row r="654">
      <c r="A654" s="9"/>
      <c r="B654" s="9"/>
      <c r="C654" s="9"/>
      <c r="D654" s="9"/>
      <c r="E654" s="9"/>
      <c r="F654" s="10"/>
      <c r="G654" s="10"/>
      <c r="H654" s="9"/>
      <c r="I654" s="9"/>
      <c r="J654" s="8"/>
      <c r="K654" s="9"/>
    </row>
    <row r="655">
      <c r="A655" s="9"/>
      <c r="B655" s="9"/>
      <c r="C655" s="9"/>
      <c r="D655" s="9"/>
      <c r="E655" s="9"/>
      <c r="F655" s="10"/>
      <c r="G655" s="10"/>
      <c r="H655" s="9"/>
      <c r="I655" s="9"/>
      <c r="J655" s="8"/>
      <c r="K655" s="9"/>
    </row>
    <row r="656">
      <c r="A656" s="9"/>
      <c r="B656" s="9"/>
      <c r="C656" s="9"/>
      <c r="D656" s="9"/>
      <c r="E656" s="9"/>
      <c r="F656" s="10"/>
      <c r="G656" s="10"/>
      <c r="H656" s="9"/>
      <c r="I656" s="9"/>
      <c r="J656" s="8"/>
      <c r="K656" s="9"/>
    </row>
    <row r="657">
      <c r="A657" s="9"/>
      <c r="B657" s="9"/>
      <c r="C657" s="9"/>
      <c r="D657" s="9"/>
      <c r="E657" s="9"/>
      <c r="F657" s="10"/>
      <c r="G657" s="10"/>
      <c r="H657" s="9"/>
      <c r="I657" s="9"/>
      <c r="J657" s="8"/>
      <c r="K657" s="9"/>
    </row>
    <row r="658">
      <c r="A658" s="9"/>
      <c r="B658" s="9"/>
      <c r="C658" s="9"/>
      <c r="D658" s="9"/>
      <c r="E658" s="9"/>
      <c r="F658" s="10"/>
      <c r="G658" s="10"/>
      <c r="H658" s="9"/>
      <c r="I658" s="9"/>
      <c r="J658" s="8"/>
      <c r="K658" s="9"/>
    </row>
    <row r="659">
      <c r="A659" s="9"/>
      <c r="B659" s="9"/>
      <c r="C659" s="9"/>
      <c r="D659" s="9"/>
      <c r="E659" s="9"/>
      <c r="F659" s="10"/>
      <c r="G659" s="10"/>
      <c r="H659" s="9"/>
      <c r="I659" s="9"/>
      <c r="J659" s="8"/>
      <c r="K659" s="9"/>
    </row>
    <row r="660">
      <c r="A660" s="9"/>
      <c r="B660" s="9"/>
      <c r="C660" s="9"/>
      <c r="D660" s="9"/>
      <c r="E660" s="9"/>
      <c r="F660" s="10"/>
      <c r="G660" s="10"/>
      <c r="H660" s="9"/>
      <c r="I660" s="9"/>
      <c r="J660" s="8"/>
      <c r="K660" s="9"/>
    </row>
    <row r="661">
      <c r="A661" s="9"/>
      <c r="B661" s="9"/>
      <c r="C661" s="9"/>
      <c r="D661" s="9"/>
      <c r="E661" s="9"/>
      <c r="F661" s="10"/>
      <c r="G661" s="10"/>
      <c r="H661" s="9"/>
      <c r="I661" s="9"/>
      <c r="J661" s="8"/>
      <c r="K661" s="9"/>
    </row>
    <row r="662">
      <c r="A662" s="9"/>
      <c r="B662" s="9"/>
      <c r="C662" s="9"/>
      <c r="D662" s="9"/>
      <c r="E662" s="9"/>
      <c r="F662" s="10"/>
      <c r="G662" s="10"/>
      <c r="H662" s="9"/>
      <c r="I662" s="9"/>
      <c r="J662" s="8"/>
      <c r="K662" s="9"/>
    </row>
    <row r="663">
      <c r="A663" s="9"/>
      <c r="B663" s="9"/>
      <c r="C663" s="9"/>
      <c r="D663" s="9"/>
      <c r="E663" s="9"/>
      <c r="F663" s="10"/>
      <c r="G663" s="10"/>
      <c r="H663" s="9"/>
      <c r="I663" s="9"/>
      <c r="J663" s="8"/>
      <c r="K663" s="9"/>
    </row>
    <row r="664">
      <c r="A664" s="9"/>
      <c r="B664" s="9"/>
      <c r="C664" s="9"/>
      <c r="D664" s="9"/>
      <c r="E664" s="9"/>
      <c r="F664" s="10"/>
      <c r="G664" s="10"/>
      <c r="H664" s="9"/>
      <c r="I664" s="9"/>
      <c r="J664" s="8"/>
      <c r="K664" s="9"/>
    </row>
    <row r="665">
      <c r="A665" s="9"/>
      <c r="B665" s="9"/>
      <c r="C665" s="9"/>
      <c r="D665" s="9"/>
      <c r="E665" s="9"/>
      <c r="F665" s="10"/>
      <c r="G665" s="10"/>
      <c r="H665" s="9"/>
      <c r="I665" s="9"/>
      <c r="J665" s="8"/>
      <c r="K665" s="9"/>
    </row>
    <row r="666">
      <c r="A666" s="9"/>
      <c r="B666" s="9"/>
      <c r="C666" s="9"/>
      <c r="D666" s="9"/>
      <c r="E666" s="9"/>
      <c r="F666" s="10"/>
      <c r="G666" s="10"/>
      <c r="H666" s="9"/>
      <c r="I666" s="9"/>
      <c r="J666" s="8"/>
      <c r="K666" s="9"/>
    </row>
    <row r="667">
      <c r="A667" s="9"/>
      <c r="B667" s="9"/>
      <c r="C667" s="9"/>
      <c r="D667" s="9"/>
      <c r="E667" s="9"/>
      <c r="F667" s="10"/>
      <c r="G667" s="10"/>
      <c r="H667" s="9"/>
      <c r="I667" s="9"/>
      <c r="J667" s="8"/>
      <c r="K667" s="9"/>
    </row>
    <row r="668">
      <c r="A668" s="9"/>
      <c r="B668" s="9"/>
      <c r="C668" s="9"/>
      <c r="D668" s="9"/>
      <c r="E668" s="9"/>
      <c r="F668" s="10"/>
      <c r="G668" s="10"/>
      <c r="H668" s="9"/>
      <c r="I668" s="9"/>
      <c r="J668" s="8"/>
      <c r="K668" s="9"/>
    </row>
    <row r="669">
      <c r="A669" s="9"/>
      <c r="B669" s="9"/>
      <c r="C669" s="9"/>
      <c r="D669" s="9"/>
      <c r="E669" s="9"/>
      <c r="F669" s="10"/>
      <c r="G669" s="10"/>
      <c r="H669" s="9"/>
      <c r="I669" s="9"/>
      <c r="J669" s="8"/>
      <c r="K669" s="9"/>
    </row>
    <row r="670">
      <c r="A670" s="9"/>
      <c r="B670" s="9"/>
      <c r="C670" s="9"/>
      <c r="D670" s="9"/>
      <c r="E670" s="9"/>
      <c r="F670" s="10"/>
      <c r="G670" s="10"/>
      <c r="H670" s="9"/>
      <c r="I670" s="9"/>
      <c r="J670" s="8"/>
      <c r="K670" s="9"/>
    </row>
    <row r="671">
      <c r="A671" s="9"/>
      <c r="B671" s="9"/>
      <c r="C671" s="9"/>
      <c r="D671" s="9"/>
      <c r="E671" s="9"/>
      <c r="F671" s="10"/>
      <c r="G671" s="10"/>
      <c r="H671" s="9"/>
      <c r="I671" s="9"/>
      <c r="J671" s="8"/>
      <c r="K671" s="9"/>
    </row>
    <row r="672">
      <c r="A672" s="9"/>
      <c r="B672" s="9"/>
      <c r="C672" s="9"/>
      <c r="D672" s="9"/>
      <c r="E672" s="9"/>
      <c r="F672" s="10"/>
      <c r="G672" s="10"/>
      <c r="H672" s="9"/>
      <c r="I672" s="9"/>
      <c r="J672" s="8"/>
      <c r="K672" s="9"/>
    </row>
    <row r="673">
      <c r="A673" s="9"/>
      <c r="B673" s="9"/>
      <c r="C673" s="9"/>
      <c r="D673" s="9"/>
      <c r="E673" s="9"/>
      <c r="F673" s="10"/>
      <c r="G673" s="10"/>
      <c r="H673" s="9"/>
      <c r="I673" s="9"/>
      <c r="J673" s="8"/>
      <c r="K673" s="9"/>
    </row>
    <row r="674">
      <c r="A674" s="9"/>
      <c r="B674" s="9"/>
      <c r="C674" s="9"/>
      <c r="D674" s="9"/>
      <c r="E674" s="9"/>
      <c r="F674" s="10"/>
      <c r="G674" s="10"/>
      <c r="H674" s="9"/>
      <c r="I674" s="9"/>
      <c r="J674" s="8"/>
      <c r="K674" s="9"/>
    </row>
    <row r="675">
      <c r="A675" s="9"/>
      <c r="B675" s="9"/>
      <c r="C675" s="9"/>
      <c r="D675" s="9"/>
      <c r="E675" s="9"/>
      <c r="F675" s="10"/>
      <c r="G675" s="10"/>
      <c r="H675" s="9"/>
      <c r="I675" s="9"/>
      <c r="J675" s="8"/>
      <c r="K675" s="9"/>
    </row>
    <row r="676">
      <c r="A676" s="9"/>
      <c r="B676" s="9"/>
      <c r="C676" s="9"/>
      <c r="D676" s="9"/>
      <c r="E676" s="9"/>
      <c r="F676" s="10"/>
      <c r="G676" s="10"/>
      <c r="H676" s="9"/>
      <c r="I676" s="9"/>
      <c r="J676" s="8"/>
      <c r="K676" s="9"/>
    </row>
    <row r="677">
      <c r="A677" s="9"/>
      <c r="B677" s="9"/>
      <c r="C677" s="9"/>
      <c r="D677" s="9"/>
      <c r="E677" s="9"/>
      <c r="F677" s="10"/>
      <c r="G677" s="10"/>
      <c r="H677" s="9"/>
      <c r="I677" s="9"/>
      <c r="J677" s="8"/>
      <c r="K677" s="9"/>
    </row>
    <row r="678">
      <c r="A678" s="9"/>
      <c r="B678" s="9"/>
      <c r="C678" s="9"/>
      <c r="D678" s="9"/>
      <c r="E678" s="9"/>
      <c r="F678" s="10"/>
      <c r="G678" s="10"/>
      <c r="H678" s="9"/>
      <c r="I678" s="9"/>
      <c r="J678" s="8"/>
      <c r="K678" s="9"/>
    </row>
    <row r="679">
      <c r="A679" s="9"/>
      <c r="B679" s="9"/>
      <c r="C679" s="9"/>
      <c r="D679" s="9"/>
      <c r="E679" s="9"/>
      <c r="F679" s="10"/>
      <c r="G679" s="10"/>
      <c r="H679" s="9"/>
      <c r="I679" s="9"/>
      <c r="J679" s="8"/>
      <c r="K679" s="9"/>
    </row>
    <row r="680">
      <c r="A680" s="9"/>
      <c r="B680" s="9"/>
      <c r="C680" s="9"/>
      <c r="D680" s="9"/>
      <c r="E680" s="9"/>
      <c r="F680" s="10"/>
      <c r="G680" s="10"/>
      <c r="H680" s="9"/>
      <c r="I680" s="9"/>
      <c r="J680" s="8"/>
      <c r="K680" s="9"/>
    </row>
    <row r="681">
      <c r="A681" s="9"/>
      <c r="B681" s="9"/>
      <c r="C681" s="9"/>
      <c r="D681" s="9"/>
      <c r="E681" s="9"/>
      <c r="F681" s="10"/>
      <c r="G681" s="10"/>
      <c r="H681" s="9"/>
      <c r="I681" s="9"/>
      <c r="J681" s="8"/>
      <c r="K681" s="9"/>
    </row>
    <row r="682">
      <c r="A682" s="9"/>
      <c r="B682" s="9"/>
      <c r="C682" s="9"/>
      <c r="D682" s="9"/>
      <c r="E682" s="9"/>
      <c r="F682" s="10"/>
      <c r="G682" s="10"/>
      <c r="H682" s="9"/>
      <c r="I682" s="9"/>
      <c r="J682" s="8"/>
      <c r="K682" s="9"/>
    </row>
    <row r="683">
      <c r="A683" s="9"/>
      <c r="B683" s="9"/>
      <c r="C683" s="9"/>
      <c r="D683" s="9"/>
      <c r="E683" s="9"/>
      <c r="F683" s="10"/>
      <c r="G683" s="10"/>
      <c r="H683" s="9"/>
      <c r="I683" s="9"/>
      <c r="J683" s="8"/>
      <c r="K683" s="9"/>
    </row>
    <row r="684">
      <c r="A684" s="9"/>
      <c r="B684" s="9"/>
      <c r="C684" s="9"/>
      <c r="D684" s="9"/>
      <c r="E684" s="9"/>
      <c r="F684" s="10"/>
      <c r="G684" s="10"/>
      <c r="H684" s="9"/>
      <c r="I684" s="9"/>
      <c r="J684" s="8"/>
      <c r="K684" s="9"/>
    </row>
    <row r="685">
      <c r="A685" s="9"/>
      <c r="B685" s="9"/>
      <c r="C685" s="9"/>
      <c r="D685" s="9"/>
      <c r="E685" s="9"/>
      <c r="F685" s="10"/>
      <c r="G685" s="10"/>
      <c r="H685" s="9"/>
      <c r="I685" s="9"/>
      <c r="J685" s="8"/>
      <c r="K685" s="9"/>
    </row>
    <row r="686">
      <c r="A686" s="9"/>
      <c r="B686" s="9"/>
      <c r="C686" s="9"/>
      <c r="D686" s="9"/>
      <c r="E686" s="9"/>
      <c r="F686" s="10"/>
      <c r="G686" s="10"/>
      <c r="H686" s="9"/>
      <c r="I686" s="9"/>
      <c r="J686" s="8"/>
      <c r="K686" s="9"/>
    </row>
    <row r="687">
      <c r="A687" s="9"/>
      <c r="B687" s="9"/>
      <c r="C687" s="9"/>
      <c r="D687" s="9"/>
      <c r="E687" s="9"/>
      <c r="F687" s="10"/>
      <c r="G687" s="10"/>
      <c r="H687" s="9"/>
      <c r="I687" s="9"/>
      <c r="J687" s="8"/>
      <c r="K687" s="9"/>
    </row>
    <row r="688">
      <c r="A688" s="9"/>
      <c r="B688" s="9"/>
      <c r="C688" s="9"/>
      <c r="D688" s="9"/>
      <c r="E688" s="9"/>
      <c r="F688" s="10"/>
      <c r="G688" s="10"/>
      <c r="H688" s="9"/>
      <c r="I688" s="9"/>
      <c r="J688" s="8"/>
      <c r="K688" s="9"/>
    </row>
    <row r="689">
      <c r="A689" s="9"/>
      <c r="B689" s="9"/>
      <c r="C689" s="9"/>
      <c r="D689" s="9"/>
      <c r="E689" s="9"/>
      <c r="F689" s="10"/>
      <c r="G689" s="10"/>
      <c r="H689" s="9"/>
      <c r="I689" s="9"/>
      <c r="J689" s="8"/>
      <c r="K689" s="9"/>
    </row>
    <row r="690">
      <c r="A690" s="9"/>
      <c r="B690" s="9"/>
      <c r="C690" s="9"/>
      <c r="D690" s="9"/>
      <c r="E690" s="9"/>
      <c r="F690" s="10"/>
      <c r="G690" s="10"/>
      <c r="H690" s="9"/>
      <c r="I690" s="9"/>
      <c r="J690" s="8"/>
      <c r="K690" s="9"/>
    </row>
    <row r="691">
      <c r="A691" s="9"/>
      <c r="B691" s="9"/>
      <c r="C691" s="9"/>
      <c r="D691" s="9"/>
      <c r="E691" s="9"/>
      <c r="F691" s="10"/>
      <c r="G691" s="10"/>
      <c r="H691" s="9"/>
      <c r="I691" s="9"/>
      <c r="J691" s="8"/>
      <c r="K691" s="9"/>
    </row>
    <row r="692">
      <c r="A692" s="9"/>
      <c r="B692" s="9"/>
      <c r="C692" s="9"/>
      <c r="D692" s="9"/>
      <c r="E692" s="9"/>
      <c r="F692" s="10"/>
      <c r="G692" s="10"/>
      <c r="H692" s="9"/>
      <c r="I692" s="9"/>
      <c r="J692" s="8"/>
      <c r="K692" s="9"/>
    </row>
    <row r="693">
      <c r="A693" s="9"/>
      <c r="B693" s="9"/>
      <c r="C693" s="9"/>
      <c r="D693" s="9"/>
      <c r="E693" s="9"/>
      <c r="F693" s="10"/>
      <c r="G693" s="10"/>
      <c r="H693" s="9"/>
      <c r="I693" s="9"/>
      <c r="J693" s="8"/>
      <c r="K693" s="9"/>
    </row>
    <row r="694">
      <c r="A694" s="9"/>
      <c r="B694" s="9"/>
      <c r="C694" s="9"/>
      <c r="D694" s="9"/>
      <c r="E694" s="9"/>
      <c r="F694" s="10"/>
      <c r="G694" s="10"/>
      <c r="H694" s="9"/>
      <c r="I694" s="9"/>
      <c r="J694" s="8"/>
      <c r="K694" s="9"/>
    </row>
    <row r="695">
      <c r="A695" s="9"/>
      <c r="B695" s="9"/>
      <c r="C695" s="9"/>
      <c r="D695" s="9"/>
      <c r="E695" s="9"/>
      <c r="F695" s="10"/>
      <c r="G695" s="10"/>
      <c r="H695" s="9"/>
      <c r="I695" s="9"/>
      <c r="J695" s="8"/>
      <c r="K695" s="9"/>
    </row>
    <row r="696">
      <c r="A696" s="9"/>
      <c r="B696" s="9"/>
      <c r="C696" s="9"/>
      <c r="D696" s="9"/>
      <c r="E696" s="9"/>
      <c r="F696" s="10"/>
      <c r="G696" s="10"/>
      <c r="H696" s="9"/>
      <c r="I696" s="9"/>
      <c r="J696" s="8"/>
      <c r="K696" s="9"/>
    </row>
    <row r="697">
      <c r="A697" s="9"/>
      <c r="B697" s="9"/>
      <c r="C697" s="9"/>
      <c r="D697" s="9"/>
      <c r="E697" s="9"/>
      <c r="F697" s="10"/>
      <c r="G697" s="10"/>
      <c r="H697" s="9"/>
      <c r="I697" s="9"/>
      <c r="J697" s="8"/>
      <c r="K697" s="9"/>
    </row>
    <row r="698">
      <c r="A698" s="9"/>
      <c r="B698" s="9"/>
      <c r="C698" s="9"/>
      <c r="D698" s="9"/>
      <c r="E698" s="9"/>
      <c r="F698" s="10"/>
      <c r="G698" s="10"/>
      <c r="H698" s="9"/>
      <c r="I698" s="9"/>
      <c r="J698" s="8"/>
      <c r="K698" s="9"/>
    </row>
    <row r="699">
      <c r="A699" s="9"/>
      <c r="B699" s="9"/>
      <c r="C699" s="9"/>
      <c r="D699" s="9"/>
      <c r="E699" s="9"/>
      <c r="F699" s="10"/>
      <c r="G699" s="10"/>
      <c r="H699" s="9"/>
      <c r="I699" s="9"/>
      <c r="J699" s="8"/>
      <c r="K699" s="9"/>
    </row>
    <row r="700">
      <c r="A700" s="9"/>
      <c r="B700" s="9"/>
      <c r="C700" s="9"/>
      <c r="D700" s="9"/>
      <c r="E700" s="9"/>
      <c r="F700" s="10"/>
      <c r="G700" s="10"/>
      <c r="H700" s="9"/>
      <c r="I700" s="9"/>
      <c r="J700" s="8"/>
      <c r="K700" s="9"/>
    </row>
    <row r="701">
      <c r="A701" s="9"/>
      <c r="B701" s="9"/>
      <c r="C701" s="9"/>
      <c r="D701" s="9"/>
      <c r="E701" s="9"/>
      <c r="F701" s="10"/>
      <c r="G701" s="10"/>
      <c r="H701" s="9"/>
      <c r="I701" s="9"/>
      <c r="J701" s="8"/>
      <c r="K701" s="9"/>
    </row>
    <row r="702">
      <c r="A702" s="9"/>
      <c r="B702" s="9"/>
      <c r="C702" s="9"/>
      <c r="D702" s="9"/>
      <c r="E702" s="9"/>
      <c r="F702" s="10"/>
      <c r="G702" s="10"/>
      <c r="H702" s="9"/>
      <c r="I702" s="9"/>
      <c r="J702" s="8"/>
      <c r="K702" s="9"/>
    </row>
    <row r="703">
      <c r="A703" s="9"/>
      <c r="B703" s="9"/>
      <c r="C703" s="9"/>
      <c r="D703" s="9"/>
      <c r="E703" s="9"/>
      <c r="F703" s="10"/>
      <c r="G703" s="10"/>
      <c r="H703" s="9"/>
      <c r="I703" s="9"/>
      <c r="J703" s="8"/>
      <c r="K703" s="9"/>
    </row>
    <row r="704">
      <c r="A704" s="9"/>
      <c r="B704" s="9"/>
      <c r="C704" s="9"/>
      <c r="D704" s="9"/>
      <c r="E704" s="9"/>
      <c r="F704" s="10"/>
      <c r="G704" s="10"/>
      <c r="H704" s="9"/>
      <c r="I704" s="9"/>
      <c r="J704" s="8"/>
      <c r="K704" s="9"/>
    </row>
    <row r="705">
      <c r="A705" s="9"/>
      <c r="B705" s="9"/>
      <c r="C705" s="9"/>
      <c r="D705" s="9"/>
      <c r="E705" s="9"/>
      <c r="F705" s="10"/>
      <c r="G705" s="10"/>
      <c r="H705" s="9"/>
      <c r="I705" s="9"/>
      <c r="J705" s="8"/>
      <c r="K705" s="9"/>
    </row>
    <row r="706">
      <c r="A706" s="9"/>
      <c r="B706" s="9"/>
      <c r="C706" s="9"/>
      <c r="D706" s="9"/>
      <c r="E706" s="9"/>
      <c r="F706" s="10"/>
      <c r="G706" s="10"/>
      <c r="H706" s="9"/>
      <c r="I706" s="9"/>
      <c r="J706" s="8"/>
      <c r="K706" s="9"/>
    </row>
    <row r="707">
      <c r="A707" s="9"/>
      <c r="B707" s="9"/>
      <c r="C707" s="9"/>
      <c r="D707" s="9"/>
      <c r="E707" s="9"/>
      <c r="F707" s="10"/>
      <c r="G707" s="10"/>
      <c r="H707" s="9"/>
      <c r="I707" s="9"/>
      <c r="J707" s="8"/>
      <c r="K707" s="9"/>
    </row>
    <row r="708">
      <c r="A708" s="9"/>
      <c r="B708" s="9"/>
      <c r="C708" s="9"/>
      <c r="D708" s="9"/>
      <c r="E708" s="9"/>
      <c r="F708" s="10"/>
      <c r="G708" s="10"/>
      <c r="H708" s="9"/>
      <c r="I708" s="9"/>
      <c r="J708" s="8"/>
      <c r="K708" s="9"/>
    </row>
    <row r="709">
      <c r="A709" s="9"/>
      <c r="B709" s="9"/>
      <c r="C709" s="9"/>
      <c r="D709" s="9"/>
      <c r="E709" s="9"/>
      <c r="F709" s="10"/>
      <c r="G709" s="10"/>
      <c r="H709" s="9"/>
      <c r="I709" s="9"/>
      <c r="J709" s="8"/>
      <c r="K709" s="9"/>
    </row>
    <row r="710">
      <c r="A710" s="9"/>
      <c r="B710" s="9"/>
      <c r="C710" s="9"/>
      <c r="D710" s="9"/>
      <c r="E710" s="9"/>
      <c r="F710" s="10"/>
      <c r="G710" s="10"/>
      <c r="H710" s="9"/>
      <c r="I710" s="9"/>
      <c r="J710" s="8"/>
      <c r="K710" s="9"/>
    </row>
    <row r="711">
      <c r="A711" s="9"/>
      <c r="B711" s="9"/>
      <c r="C711" s="9"/>
      <c r="D711" s="9"/>
      <c r="E711" s="9"/>
      <c r="F711" s="10"/>
      <c r="G711" s="10"/>
      <c r="H711" s="9"/>
      <c r="I711" s="9"/>
      <c r="J711" s="8"/>
      <c r="K711" s="9"/>
    </row>
    <row r="712">
      <c r="A712" s="9"/>
      <c r="B712" s="9"/>
      <c r="C712" s="9"/>
      <c r="D712" s="9"/>
      <c r="E712" s="9"/>
      <c r="F712" s="10"/>
      <c r="G712" s="10"/>
      <c r="H712" s="9"/>
      <c r="I712" s="9"/>
      <c r="J712" s="8"/>
      <c r="K712" s="9"/>
    </row>
    <row r="713">
      <c r="A713" s="9"/>
      <c r="B713" s="9"/>
      <c r="C713" s="9"/>
      <c r="D713" s="9"/>
      <c r="E713" s="9"/>
      <c r="F713" s="10"/>
      <c r="G713" s="10"/>
      <c r="H713" s="9"/>
      <c r="I713" s="9"/>
      <c r="J713" s="8"/>
      <c r="K713" s="9"/>
    </row>
    <row r="714">
      <c r="A714" s="9"/>
      <c r="B714" s="9"/>
      <c r="C714" s="9"/>
      <c r="D714" s="9"/>
      <c r="E714" s="9"/>
      <c r="F714" s="10"/>
      <c r="G714" s="10"/>
      <c r="H714" s="9"/>
      <c r="I714" s="9"/>
      <c r="J714" s="8"/>
      <c r="K714" s="9"/>
    </row>
    <row r="715">
      <c r="A715" s="9"/>
      <c r="B715" s="9"/>
      <c r="C715" s="9"/>
      <c r="D715" s="9"/>
      <c r="E715" s="9"/>
      <c r="F715" s="10"/>
      <c r="G715" s="10"/>
      <c r="H715" s="9"/>
      <c r="I715" s="9"/>
      <c r="J715" s="8"/>
      <c r="K715" s="9"/>
    </row>
    <row r="716">
      <c r="A716" s="9"/>
      <c r="B716" s="9"/>
      <c r="C716" s="9"/>
      <c r="D716" s="9"/>
      <c r="E716" s="9"/>
      <c r="F716" s="10"/>
      <c r="G716" s="10"/>
      <c r="H716" s="9"/>
      <c r="I716" s="9"/>
      <c r="J716" s="8"/>
      <c r="K716" s="9"/>
    </row>
    <row r="717">
      <c r="A717" s="9"/>
      <c r="B717" s="9"/>
      <c r="C717" s="9"/>
      <c r="D717" s="9"/>
      <c r="E717" s="9"/>
      <c r="F717" s="10"/>
      <c r="G717" s="10"/>
      <c r="H717" s="9"/>
      <c r="I717" s="9"/>
      <c r="J717" s="8"/>
      <c r="K717" s="9"/>
    </row>
    <row r="718">
      <c r="A718" s="9"/>
      <c r="B718" s="9"/>
      <c r="C718" s="9"/>
      <c r="D718" s="9"/>
      <c r="E718" s="9"/>
      <c r="F718" s="10"/>
      <c r="G718" s="10"/>
      <c r="H718" s="9"/>
      <c r="I718" s="9"/>
      <c r="J718" s="8"/>
      <c r="K718" s="9"/>
    </row>
    <row r="719">
      <c r="A719" s="9"/>
      <c r="B719" s="9"/>
      <c r="C719" s="9"/>
      <c r="D719" s="9"/>
      <c r="E719" s="9"/>
      <c r="F719" s="10"/>
      <c r="G719" s="10"/>
      <c r="H719" s="9"/>
      <c r="I719" s="9"/>
      <c r="J719" s="8"/>
      <c r="K719" s="9"/>
    </row>
    <row r="720">
      <c r="A720" s="9"/>
      <c r="B720" s="9"/>
      <c r="C720" s="9"/>
      <c r="D720" s="9"/>
      <c r="E720" s="9"/>
      <c r="F720" s="10"/>
      <c r="G720" s="10"/>
      <c r="H720" s="9"/>
      <c r="I720" s="9"/>
      <c r="J720" s="8"/>
      <c r="K720" s="9"/>
    </row>
    <row r="721">
      <c r="A721" s="9"/>
      <c r="B721" s="9"/>
      <c r="C721" s="9"/>
      <c r="D721" s="9"/>
      <c r="E721" s="9"/>
      <c r="F721" s="10"/>
      <c r="G721" s="10"/>
      <c r="H721" s="9"/>
      <c r="I721" s="9"/>
      <c r="J721" s="8"/>
      <c r="K721" s="9"/>
    </row>
    <row r="722">
      <c r="A722" s="9"/>
      <c r="B722" s="9"/>
      <c r="C722" s="9"/>
      <c r="D722" s="9"/>
      <c r="E722" s="9"/>
      <c r="F722" s="10"/>
      <c r="G722" s="10"/>
      <c r="H722" s="9"/>
      <c r="I722" s="9"/>
      <c r="J722" s="8"/>
      <c r="K722" s="9"/>
    </row>
    <row r="723">
      <c r="A723" s="9"/>
      <c r="B723" s="9"/>
      <c r="C723" s="9"/>
      <c r="D723" s="9"/>
      <c r="E723" s="9"/>
      <c r="F723" s="10"/>
      <c r="G723" s="10"/>
      <c r="H723" s="9"/>
      <c r="I723" s="9"/>
      <c r="J723" s="8"/>
      <c r="K723" s="9"/>
    </row>
    <row r="724">
      <c r="A724" s="9"/>
      <c r="B724" s="9"/>
      <c r="C724" s="9"/>
      <c r="D724" s="9"/>
      <c r="E724" s="9"/>
      <c r="F724" s="10"/>
      <c r="G724" s="10"/>
      <c r="H724" s="9"/>
      <c r="I724" s="9"/>
      <c r="J724" s="8"/>
      <c r="K724" s="9"/>
    </row>
    <row r="725">
      <c r="A725" s="9"/>
      <c r="B725" s="9"/>
      <c r="C725" s="9"/>
      <c r="D725" s="9"/>
      <c r="E725" s="9"/>
      <c r="F725" s="10"/>
      <c r="G725" s="10"/>
      <c r="H725" s="9"/>
      <c r="I725" s="9"/>
      <c r="J725" s="8"/>
      <c r="K725" s="9"/>
    </row>
    <row r="726">
      <c r="A726" s="9"/>
      <c r="B726" s="9"/>
      <c r="C726" s="9"/>
      <c r="D726" s="9"/>
      <c r="E726" s="9"/>
      <c r="F726" s="10"/>
      <c r="G726" s="10"/>
      <c r="H726" s="9"/>
      <c r="I726" s="9"/>
      <c r="J726" s="8"/>
      <c r="K726" s="9"/>
    </row>
    <row r="727">
      <c r="A727" s="9"/>
      <c r="B727" s="9"/>
      <c r="C727" s="9"/>
      <c r="D727" s="9"/>
      <c r="E727" s="9"/>
      <c r="F727" s="10"/>
      <c r="G727" s="10"/>
      <c r="H727" s="9"/>
      <c r="I727" s="9"/>
      <c r="J727" s="8"/>
      <c r="K727" s="9"/>
    </row>
    <row r="728">
      <c r="A728" s="9"/>
      <c r="B728" s="9"/>
      <c r="C728" s="9"/>
      <c r="D728" s="9"/>
      <c r="E728" s="9"/>
      <c r="F728" s="10"/>
      <c r="G728" s="10"/>
      <c r="H728" s="9"/>
      <c r="I728" s="9"/>
      <c r="J728" s="8"/>
      <c r="K728" s="9"/>
    </row>
    <row r="729">
      <c r="A729" s="9"/>
      <c r="B729" s="9"/>
      <c r="C729" s="9"/>
      <c r="D729" s="9"/>
      <c r="E729" s="9"/>
      <c r="F729" s="10"/>
      <c r="G729" s="10"/>
      <c r="H729" s="9"/>
      <c r="I729" s="9"/>
      <c r="J729" s="8"/>
      <c r="K729" s="9"/>
    </row>
    <row r="730">
      <c r="A730" s="9"/>
      <c r="B730" s="9"/>
      <c r="C730" s="9"/>
      <c r="D730" s="9"/>
      <c r="E730" s="9"/>
      <c r="F730" s="10"/>
      <c r="G730" s="10"/>
      <c r="H730" s="9"/>
      <c r="I730" s="9"/>
      <c r="J730" s="8"/>
      <c r="K730" s="9"/>
    </row>
    <row r="731">
      <c r="A731" s="9"/>
      <c r="B731" s="9"/>
      <c r="C731" s="9"/>
      <c r="D731" s="9"/>
      <c r="E731" s="9"/>
      <c r="F731" s="10"/>
      <c r="G731" s="10"/>
      <c r="H731" s="9"/>
      <c r="I731" s="9"/>
      <c r="J731" s="8"/>
      <c r="K731" s="9"/>
    </row>
    <row r="732">
      <c r="A732" s="9"/>
      <c r="B732" s="9"/>
      <c r="C732" s="9"/>
      <c r="D732" s="9"/>
      <c r="E732" s="9"/>
      <c r="F732" s="10"/>
      <c r="G732" s="10"/>
      <c r="H732" s="9"/>
      <c r="I732" s="9"/>
      <c r="J732" s="8"/>
      <c r="K732" s="9"/>
    </row>
    <row r="733">
      <c r="A733" s="9"/>
      <c r="B733" s="9"/>
      <c r="C733" s="9"/>
      <c r="D733" s="9"/>
      <c r="E733" s="9"/>
      <c r="F733" s="10"/>
      <c r="G733" s="10"/>
      <c r="H733" s="9"/>
      <c r="I733" s="9"/>
      <c r="J733" s="8"/>
      <c r="K733" s="9"/>
    </row>
    <row r="734">
      <c r="A734" s="9"/>
      <c r="B734" s="9"/>
      <c r="C734" s="9"/>
      <c r="D734" s="9"/>
      <c r="E734" s="9"/>
      <c r="F734" s="10"/>
      <c r="G734" s="10"/>
      <c r="H734" s="9"/>
      <c r="I734" s="9"/>
      <c r="J734" s="8"/>
      <c r="K734" s="9"/>
    </row>
    <row r="735">
      <c r="A735" s="9"/>
      <c r="B735" s="9"/>
      <c r="C735" s="9"/>
      <c r="D735" s="9"/>
      <c r="E735" s="9"/>
      <c r="F735" s="10"/>
      <c r="G735" s="10"/>
      <c r="H735" s="9"/>
      <c r="I735" s="9"/>
      <c r="J735" s="8"/>
      <c r="K735" s="9"/>
    </row>
    <row r="736">
      <c r="A736" s="9"/>
      <c r="B736" s="9"/>
      <c r="C736" s="9"/>
      <c r="D736" s="9"/>
      <c r="E736" s="9"/>
      <c r="F736" s="10"/>
      <c r="G736" s="10"/>
      <c r="H736" s="9"/>
      <c r="I736" s="9"/>
      <c r="J736" s="8"/>
      <c r="K736" s="9"/>
    </row>
    <row r="737">
      <c r="A737" s="9"/>
      <c r="B737" s="9"/>
      <c r="C737" s="9"/>
      <c r="D737" s="9"/>
      <c r="E737" s="9"/>
      <c r="F737" s="10"/>
      <c r="G737" s="10"/>
      <c r="H737" s="9"/>
      <c r="I737" s="9"/>
      <c r="J737" s="8"/>
      <c r="K737" s="9"/>
    </row>
    <row r="738">
      <c r="A738" s="9"/>
      <c r="B738" s="9"/>
      <c r="C738" s="9"/>
      <c r="D738" s="9"/>
      <c r="E738" s="9"/>
      <c r="F738" s="10"/>
      <c r="G738" s="10"/>
      <c r="H738" s="9"/>
      <c r="I738" s="9"/>
      <c r="J738" s="8"/>
      <c r="K738" s="9"/>
    </row>
    <row r="739">
      <c r="A739" s="9"/>
      <c r="B739" s="9"/>
      <c r="C739" s="9"/>
      <c r="D739" s="9"/>
      <c r="E739" s="9"/>
      <c r="F739" s="10"/>
      <c r="G739" s="10"/>
      <c r="H739" s="9"/>
      <c r="I739" s="9"/>
      <c r="J739" s="8"/>
      <c r="K739" s="9"/>
    </row>
    <row r="740">
      <c r="A740" s="9"/>
      <c r="B740" s="9"/>
      <c r="C740" s="9"/>
      <c r="D740" s="9"/>
      <c r="E740" s="9"/>
      <c r="F740" s="10"/>
      <c r="G740" s="10"/>
      <c r="H740" s="9"/>
      <c r="I740" s="9"/>
      <c r="J740" s="8"/>
      <c r="K740" s="9"/>
    </row>
    <row r="741">
      <c r="A741" s="9"/>
      <c r="B741" s="9"/>
      <c r="C741" s="9"/>
      <c r="D741" s="9"/>
      <c r="E741" s="9"/>
      <c r="F741" s="10"/>
      <c r="G741" s="10"/>
      <c r="H741" s="9"/>
      <c r="I741" s="9"/>
      <c r="J741" s="8"/>
      <c r="K741" s="9"/>
    </row>
    <row r="742">
      <c r="A742" s="9"/>
      <c r="B742" s="9"/>
      <c r="C742" s="9"/>
      <c r="D742" s="9"/>
      <c r="E742" s="9"/>
      <c r="F742" s="10"/>
      <c r="G742" s="10"/>
      <c r="H742" s="9"/>
      <c r="I742" s="9"/>
      <c r="J742" s="8"/>
      <c r="K742" s="9"/>
    </row>
    <row r="743">
      <c r="A743" s="9"/>
      <c r="B743" s="9"/>
      <c r="C743" s="9"/>
      <c r="D743" s="9"/>
      <c r="E743" s="9"/>
      <c r="F743" s="10"/>
      <c r="G743" s="10"/>
      <c r="H743" s="9"/>
      <c r="I743" s="9"/>
      <c r="J743" s="8"/>
      <c r="K743" s="9"/>
    </row>
    <row r="744">
      <c r="A744" s="9"/>
      <c r="B744" s="9"/>
      <c r="C744" s="9"/>
      <c r="D744" s="9"/>
      <c r="E744" s="9"/>
      <c r="F744" s="10"/>
      <c r="G744" s="10"/>
      <c r="H744" s="9"/>
      <c r="I744" s="9"/>
      <c r="J744" s="8"/>
      <c r="K744" s="9"/>
    </row>
    <row r="745">
      <c r="A745" s="9"/>
      <c r="B745" s="9"/>
      <c r="C745" s="9"/>
      <c r="D745" s="9"/>
      <c r="E745" s="9"/>
      <c r="F745" s="10"/>
      <c r="G745" s="10"/>
      <c r="H745" s="9"/>
      <c r="I745" s="9"/>
      <c r="J745" s="8"/>
      <c r="K745" s="9"/>
    </row>
    <row r="746">
      <c r="A746" s="9"/>
      <c r="B746" s="9"/>
      <c r="C746" s="9"/>
      <c r="D746" s="9"/>
      <c r="E746" s="9"/>
      <c r="F746" s="10"/>
      <c r="G746" s="10"/>
      <c r="H746" s="9"/>
      <c r="I746" s="9"/>
      <c r="J746" s="8"/>
      <c r="K746" s="9"/>
    </row>
    <row r="747">
      <c r="A747" s="9"/>
      <c r="B747" s="9"/>
      <c r="C747" s="9"/>
      <c r="D747" s="9"/>
      <c r="E747" s="9"/>
      <c r="F747" s="10"/>
      <c r="G747" s="10"/>
      <c r="H747" s="9"/>
      <c r="I747" s="9"/>
      <c r="J747" s="8"/>
      <c r="K747" s="9"/>
    </row>
    <row r="748">
      <c r="A748" s="9"/>
      <c r="B748" s="9"/>
      <c r="C748" s="9"/>
      <c r="D748" s="9"/>
      <c r="E748" s="9"/>
      <c r="F748" s="10"/>
      <c r="G748" s="10"/>
      <c r="H748" s="9"/>
      <c r="I748" s="9"/>
      <c r="J748" s="8"/>
      <c r="K748" s="9"/>
    </row>
    <row r="749">
      <c r="A749" s="9"/>
      <c r="B749" s="9"/>
      <c r="C749" s="9"/>
      <c r="D749" s="9"/>
      <c r="E749" s="9"/>
      <c r="F749" s="10"/>
      <c r="G749" s="10"/>
      <c r="H749" s="9"/>
      <c r="I749" s="9"/>
      <c r="J749" s="8"/>
      <c r="K749" s="9"/>
    </row>
    <row r="750">
      <c r="A750" s="9"/>
      <c r="B750" s="9"/>
      <c r="C750" s="9"/>
      <c r="D750" s="9"/>
      <c r="E750" s="9"/>
      <c r="F750" s="10"/>
      <c r="G750" s="10"/>
      <c r="H750" s="9"/>
      <c r="I750" s="9"/>
      <c r="J750" s="8"/>
      <c r="K750" s="9"/>
    </row>
    <row r="751">
      <c r="A751" s="9"/>
      <c r="B751" s="9"/>
      <c r="C751" s="9"/>
      <c r="D751" s="9"/>
      <c r="E751" s="9"/>
      <c r="F751" s="10"/>
      <c r="G751" s="10"/>
      <c r="H751" s="9"/>
      <c r="I751" s="9"/>
      <c r="J751" s="8"/>
      <c r="K751" s="9"/>
    </row>
    <row r="752">
      <c r="A752" s="9"/>
      <c r="B752" s="9"/>
      <c r="C752" s="9"/>
      <c r="D752" s="9"/>
      <c r="E752" s="9"/>
      <c r="F752" s="10"/>
      <c r="G752" s="10"/>
      <c r="H752" s="9"/>
      <c r="I752" s="9"/>
      <c r="J752" s="8"/>
      <c r="K752" s="9"/>
    </row>
    <row r="753">
      <c r="A753" s="9"/>
      <c r="B753" s="9"/>
      <c r="C753" s="9"/>
      <c r="D753" s="9"/>
      <c r="E753" s="9"/>
      <c r="F753" s="10"/>
      <c r="G753" s="10"/>
      <c r="H753" s="9"/>
      <c r="I753" s="9"/>
      <c r="J753" s="8"/>
      <c r="K753" s="9"/>
    </row>
    <row r="754">
      <c r="A754" s="9"/>
      <c r="B754" s="9"/>
      <c r="C754" s="9"/>
      <c r="D754" s="9"/>
      <c r="E754" s="9"/>
      <c r="F754" s="10"/>
      <c r="G754" s="10"/>
      <c r="H754" s="9"/>
      <c r="I754" s="9"/>
      <c r="J754" s="8"/>
      <c r="K754" s="9"/>
    </row>
    <row r="755">
      <c r="A755" s="9"/>
      <c r="B755" s="9"/>
      <c r="C755" s="9"/>
      <c r="D755" s="9"/>
      <c r="E755" s="9"/>
      <c r="F755" s="10"/>
      <c r="G755" s="10"/>
      <c r="H755" s="9"/>
      <c r="I755" s="9"/>
      <c r="J755" s="8"/>
      <c r="K755" s="9"/>
    </row>
    <row r="756">
      <c r="A756" s="9"/>
      <c r="B756" s="9"/>
      <c r="C756" s="9"/>
      <c r="D756" s="9"/>
      <c r="E756" s="9"/>
      <c r="F756" s="10"/>
      <c r="G756" s="10"/>
      <c r="H756" s="9"/>
      <c r="I756" s="9"/>
      <c r="J756" s="8"/>
      <c r="K756" s="9"/>
    </row>
    <row r="757">
      <c r="A757" s="9"/>
      <c r="B757" s="9"/>
      <c r="C757" s="9"/>
      <c r="D757" s="9"/>
      <c r="E757" s="9"/>
      <c r="F757" s="10"/>
      <c r="G757" s="10"/>
      <c r="H757" s="9"/>
      <c r="I757" s="9"/>
      <c r="J757" s="8"/>
      <c r="K757" s="9"/>
    </row>
    <row r="758">
      <c r="A758" s="9"/>
      <c r="B758" s="9"/>
      <c r="C758" s="9"/>
      <c r="D758" s="9"/>
      <c r="E758" s="9"/>
      <c r="F758" s="10"/>
      <c r="G758" s="10"/>
      <c r="H758" s="9"/>
      <c r="I758" s="9"/>
      <c r="J758" s="8"/>
      <c r="K758" s="9"/>
    </row>
    <row r="759">
      <c r="A759" s="9"/>
      <c r="B759" s="9"/>
      <c r="C759" s="9"/>
      <c r="D759" s="9"/>
      <c r="E759" s="9"/>
      <c r="F759" s="10"/>
      <c r="G759" s="10"/>
      <c r="H759" s="9"/>
      <c r="I759" s="9"/>
      <c r="J759" s="8"/>
      <c r="K759" s="9"/>
    </row>
    <row r="760">
      <c r="A760" s="9"/>
      <c r="B760" s="9"/>
      <c r="C760" s="9"/>
      <c r="D760" s="9"/>
      <c r="E760" s="9"/>
      <c r="F760" s="10"/>
      <c r="G760" s="10"/>
      <c r="H760" s="9"/>
      <c r="I760" s="9"/>
      <c r="J760" s="8"/>
      <c r="K760" s="9"/>
    </row>
    <row r="761">
      <c r="A761" s="9"/>
      <c r="B761" s="9"/>
      <c r="C761" s="9"/>
      <c r="D761" s="9"/>
      <c r="E761" s="9"/>
      <c r="F761" s="10"/>
      <c r="G761" s="10"/>
      <c r="H761" s="9"/>
      <c r="I761" s="9"/>
      <c r="J761" s="8"/>
      <c r="K761" s="9"/>
    </row>
    <row r="762">
      <c r="A762" s="9"/>
      <c r="B762" s="9"/>
      <c r="C762" s="9"/>
      <c r="D762" s="9"/>
      <c r="E762" s="9"/>
      <c r="F762" s="10"/>
      <c r="G762" s="10"/>
      <c r="H762" s="9"/>
      <c r="I762" s="9"/>
      <c r="J762" s="8"/>
      <c r="K762" s="9"/>
    </row>
    <row r="763">
      <c r="A763" s="9"/>
      <c r="B763" s="9"/>
      <c r="C763" s="9"/>
      <c r="D763" s="9"/>
      <c r="E763" s="9"/>
      <c r="F763" s="10"/>
      <c r="G763" s="10"/>
      <c r="H763" s="9"/>
      <c r="I763" s="9"/>
      <c r="J763" s="8"/>
      <c r="K763" s="9"/>
    </row>
    <row r="764">
      <c r="A764" s="9"/>
      <c r="B764" s="9"/>
      <c r="C764" s="9"/>
      <c r="D764" s="9"/>
      <c r="E764" s="9"/>
      <c r="F764" s="10"/>
      <c r="G764" s="10"/>
      <c r="H764" s="9"/>
      <c r="I764" s="9"/>
      <c r="J764" s="8"/>
      <c r="K764" s="9"/>
    </row>
    <row r="765">
      <c r="A765" s="9"/>
      <c r="B765" s="9"/>
      <c r="C765" s="9"/>
      <c r="D765" s="9"/>
      <c r="E765" s="9"/>
      <c r="F765" s="10"/>
      <c r="G765" s="10"/>
      <c r="H765" s="9"/>
      <c r="I765" s="9"/>
      <c r="J765" s="8"/>
      <c r="K765" s="9"/>
    </row>
    <row r="766">
      <c r="A766" s="9"/>
      <c r="B766" s="9"/>
      <c r="C766" s="9"/>
      <c r="D766" s="9"/>
      <c r="E766" s="9"/>
      <c r="F766" s="10"/>
      <c r="G766" s="10"/>
      <c r="H766" s="9"/>
      <c r="I766" s="9"/>
      <c r="J766" s="8"/>
      <c r="K766" s="9"/>
    </row>
    <row r="767">
      <c r="A767" s="9"/>
      <c r="B767" s="9"/>
      <c r="C767" s="9"/>
      <c r="D767" s="9"/>
      <c r="E767" s="9"/>
      <c r="F767" s="10"/>
      <c r="G767" s="10"/>
      <c r="H767" s="9"/>
      <c r="I767" s="9"/>
      <c r="J767" s="8"/>
      <c r="K767" s="9"/>
    </row>
    <row r="768">
      <c r="A768" s="9"/>
      <c r="B768" s="9"/>
      <c r="C768" s="9"/>
      <c r="D768" s="9"/>
      <c r="E768" s="9"/>
      <c r="F768" s="10"/>
      <c r="G768" s="10"/>
      <c r="H768" s="9"/>
      <c r="I768" s="9"/>
      <c r="J768" s="8"/>
      <c r="K768" s="9"/>
    </row>
    <row r="769">
      <c r="A769" s="9"/>
      <c r="B769" s="9"/>
      <c r="C769" s="9"/>
      <c r="D769" s="9"/>
      <c r="E769" s="9"/>
      <c r="F769" s="10"/>
      <c r="G769" s="10"/>
      <c r="H769" s="9"/>
      <c r="I769" s="9"/>
      <c r="J769" s="8"/>
      <c r="K769" s="9"/>
    </row>
    <row r="770">
      <c r="A770" s="9"/>
      <c r="B770" s="9"/>
      <c r="C770" s="9"/>
      <c r="D770" s="9"/>
      <c r="E770" s="9"/>
      <c r="F770" s="10"/>
      <c r="G770" s="10"/>
      <c r="H770" s="9"/>
      <c r="I770" s="9"/>
      <c r="J770" s="8"/>
      <c r="K770" s="9"/>
    </row>
    <row r="771">
      <c r="A771" s="9"/>
      <c r="B771" s="9"/>
      <c r="C771" s="9"/>
      <c r="D771" s="9"/>
      <c r="E771" s="9"/>
      <c r="F771" s="10"/>
      <c r="G771" s="10"/>
      <c r="H771" s="9"/>
      <c r="I771" s="9"/>
      <c r="J771" s="8"/>
      <c r="K771" s="9"/>
    </row>
    <row r="772">
      <c r="A772" s="9"/>
      <c r="B772" s="9"/>
      <c r="C772" s="9"/>
      <c r="D772" s="9"/>
      <c r="E772" s="9"/>
      <c r="F772" s="10"/>
      <c r="G772" s="10"/>
      <c r="H772" s="9"/>
      <c r="I772" s="9"/>
      <c r="J772" s="8"/>
      <c r="K772" s="9"/>
    </row>
    <row r="773">
      <c r="A773" s="9"/>
      <c r="B773" s="9"/>
      <c r="C773" s="9"/>
      <c r="D773" s="9"/>
      <c r="E773" s="9"/>
      <c r="F773" s="10"/>
      <c r="G773" s="10"/>
      <c r="H773" s="9"/>
      <c r="I773" s="9"/>
      <c r="J773" s="8"/>
      <c r="K773" s="9"/>
    </row>
    <row r="774">
      <c r="A774" s="9"/>
      <c r="B774" s="9"/>
      <c r="C774" s="9"/>
      <c r="D774" s="9"/>
      <c r="E774" s="9"/>
      <c r="F774" s="10"/>
      <c r="G774" s="10"/>
      <c r="H774" s="9"/>
      <c r="I774" s="9"/>
      <c r="J774" s="8"/>
      <c r="K774" s="9"/>
    </row>
    <row r="775">
      <c r="A775" s="9"/>
      <c r="B775" s="9"/>
      <c r="C775" s="9"/>
      <c r="D775" s="9"/>
      <c r="E775" s="9"/>
      <c r="F775" s="10"/>
      <c r="G775" s="10"/>
      <c r="H775" s="9"/>
      <c r="I775" s="9"/>
      <c r="J775" s="8"/>
      <c r="K775" s="9"/>
    </row>
    <row r="776">
      <c r="A776" s="9"/>
      <c r="B776" s="9"/>
      <c r="C776" s="9"/>
      <c r="D776" s="9"/>
      <c r="E776" s="9"/>
      <c r="F776" s="10"/>
      <c r="G776" s="10"/>
      <c r="H776" s="9"/>
      <c r="I776" s="9"/>
      <c r="J776" s="8"/>
      <c r="K776" s="9"/>
    </row>
    <row r="777">
      <c r="A777" s="9"/>
      <c r="B777" s="9"/>
      <c r="C777" s="9"/>
      <c r="D777" s="9"/>
      <c r="E777" s="9"/>
      <c r="F777" s="10"/>
      <c r="G777" s="10"/>
      <c r="H777" s="9"/>
      <c r="I777" s="9"/>
      <c r="J777" s="8"/>
      <c r="K777" s="9"/>
    </row>
    <row r="778">
      <c r="A778" s="9"/>
      <c r="B778" s="9"/>
      <c r="C778" s="9"/>
      <c r="D778" s="9"/>
      <c r="E778" s="9"/>
      <c r="F778" s="10"/>
      <c r="G778" s="10"/>
      <c r="H778" s="9"/>
      <c r="I778" s="9"/>
      <c r="J778" s="8"/>
      <c r="K778" s="9"/>
    </row>
    <row r="779">
      <c r="A779" s="9"/>
      <c r="B779" s="9"/>
      <c r="C779" s="9"/>
      <c r="D779" s="9"/>
      <c r="E779" s="9"/>
      <c r="F779" s="10"/>
      <c r="G779" s="10"/>
      <c r="H779" s="9"/>
      <c r="I779" s="9"/>
      <c r="J779" s="8"/>
      <c r="K779" s="9"/>
    </row>
    <row r="780">
      <c r="A780" s="9"/>
      <c r="B780" s="9"/>
      <c r="C780" s="9"/>
      <c r="D780" s="9"/>
      <c r="E780" s="9"/>
      <c r="F780" s="10"/>
      <c r="G780" s="10"/>
      <c r="H780" s="9"/>
      <c r="I780" s="9"/>
      <c r="J780" s="8"/>
      <c r="K780" s="9"/>
    </row>
    <row r="781">
      <c r="A781" s="9"/>
      <c r="B781" s="9"/>
      <c r="C781" s="9"/>
      <c r="D781" s="9"/>
      <c r="E781" s="9"/>
      <c r="F781" s="10"/>
      <c r="G781" s="10"/>
      <c r="H781" s="9"/>
      <c r="I781" s="9"/>
      <c r="J781" s="8"/>
      <c r="K781" s="9"/>
    </row>
    <row r="782">
      <c r="A782" s="9"/>
      <c r="B782" s="9"/>
      <c r="C782" s="9"/>
      <c r="D782" s="9"/>
      <c r="E782" s="9"/>
      <c r="F782" s="10"/>
      <c r="G782" s="10"/>
      <c r="H782" s="9"/>
      <c r="I782" s="9"/>
      <c r="J782" s="8"/>
      <c r="K782" s="9"/>
    </row>
    <row r="783">
      <c r="A783" s="9"/>
      <c r="B783" s="9"/>
      <c r="C783" s="9"/>
      <c r="D783" s="9"/>
      <c r="E783" s="9"/>
      <c r="F783" s="10"/>
      <c r="G783" s="10"/>
      <c r="H783" s="9"/>
      <c r="I783" s="9"/>
      <c r="J783" s="8"/>
      <c r="K783" s="9"/>
    </row>
    <row r="784">
      <c r="A784" s="9"/>
      <c r="B784" s="9"/>
      <c r="C784" s="9"/>
      <c r="D784" s="9"/>
      <c r="E784" s="9"/>
      <c r="F784" s="10"/>
      <c r="G784" s="10"/>
      <c r="H784" s="9"/>
      <c r="I784" s="9"/>
      <c r="J784" s="8"/>
      <c r="K784" s="9"/>
    </row>
    <row r="785">
      <c r="A785" s="9"/>
      <c r="B785" s="9"/>
      <c r="C785" s="9"/>
      <c r="D785" s="9"/>
      <c r="E785" s="9"/>
      <c r="F785" s="10"/>
      <c r="G785" s="10"/>
      <c r="H785" s="9"/>
      <c r="I785" s="9"/>
      <c r="J785" s="8"/>
      <c r="K785" s="9"/>
    </row>
    <row r="786">
      <c r="A786" s="9"/>
      <c r="B786" s="9"/>
      <c r="C786" s="9"/>
      <c r="D786" s="9"/>
      <c r="E786" s="9"/>
      <c r="F786" s="10"/>
      <c r="G786" s="10"/>
      <c r="H786" s="9"/>
      <c r="I786" s="9"/>
      <c r="J786" s="8"/>
      <c r="K786" s="9"/>
    </row>
    <row r="787">
      <c r="A787" s="9"/>
      <c r="B787" s="9"/>
      <c r="C787" s="9"/>
      <c r="D787" s="9"/>
      <c r="E787" s="9"/>
      <c r="F787" s="10"/>
      <c r="G787" s="10"/>
      <c r="H787" s="9"/>
      <c r="I787" s="9"/>
      <c r="J787" s="8"/>
      <c r="K787" s="9"/>
    </row>
    <row r="788">
      <c r="A788" s="9"/>
      <c r="B788" s="9"/>
      <c r="C788" s="9"/>
      <c r="D788" s="9"/>
      <c r="E788" s="9"/>
      <c r="F788" s="10"/>
      <c r="G788" s="10"/>
      <c r="H788" s="9"/>
      <c r="I788" s="9"/>
      <c r="J788" s="8"/>
      <c r="K788" s="9"/>
    </row>
    <row r="789">
      <c r="A789" s="9"/>
      <c r="B789" s="9"/>
      <c r="C789" s="9"/>
      <c r="D789" s="9"/>
      <c r="E789" s="9"/>
      <c r="F789" s="10"/>
      <c r="G789" s="10"/>
      <c r="H789" s="9"/>
      <c r="I789" s="9"/>
      <c r="J789" s="8"/>
      <c r="K789" s="9"/>
    </row>
    <row r="790">
      <c r="A790" s="9"/>
      <c r="B790" s="9"/>
      <c r="C790" s="9"/>
      <c r="D790" s="9"/>
      <c r="E790" s="9"/>
      <c r="F790" s="10"/>
      <c r="G790" s="10"/>
      <c r="H790" s="9"/>
      <c r="I790" s="9"/>
      <c r="J790" s="8"/>
      <c r="K790" s="9"/>
    </row>
    <row r="791">
      <c r="A791" s="9"/>
      <c r="B791" s="9"/>
      <c r="C791" s="9"/>
      <c r="D791" s="9"/>
      <c r="E791" s="9"/>
      <c r="F791" s="10"/>
      <c r="G791" s="10"/>
      <c r="H791" s="9"/>
      <c r="I791" s="9"/>
      <c r="J791" s="8"/>
      <c r="K791" s="9"/>
    </row>
    <row r="792">
      <c r="A792" s="9"/>
      <c r="B792" s="9"/>
      <c r="C792" s="9"/>
      <c r="D792" s="9"/>
      <c r="E792" s="9"/>
      <c r="F792" s="10"/>
      <c r="G792" s="10"/>
      <c r="H792" s="9"/>
      <c r="I792" s="9"/>
      <c r="J792" s="8"/>
      <c r="K792" s="9"/>
    </row>
    <row r="793">
      <c r="A793" s="9"/>
      <c r="B793" s="9"/>
      <c r="C793" s="9"/>
      <c r="D793" s="9"/>
      <c r="E793" s="9"/>
      <c r="F793" s="10"/>
      <c r="G793" s="10"/>
      <c r="H793" s="9"/>
      <c r="I793" s="9"/>
      <c r="J793" s="8"/>
      <c r="K793" s="9"/>
    </row>
    <row r="794">
      <c r="A794" s="9"/>
      <c r="B794" s="9"/>
      <c r="C794" s="9"/>
      <c r="D794" s="9"/>
      <c r="E794" s="9"/>
      <c r="F794" s="10"/>
      <c r="G794" s="10"/>
      <c r="H794" s="9"/>
      <c r="I794" s="9"/>
      <c r="J794" s="8"/>
      <c r="K794" s="9"/>
    </row>
    <row r="795">
      <c r="A795" s="9"/>
      <c r="B795" s="9"/>
      <c r="C795" s="9"/>
      <c r="D795" s="9"/>
      <c r="E795" s="9"/>
      <c r="F795" s="10"/>
      <c r="G795" s="10"/>
      <c r="H795" s="9"/>
      <c r="I795" s="9"/>
      <c r="J795" s="8"/>
      <c r="K795" s="9"/>
    </row>
    <row r="796">
      <c r="A796" s="9"/>
      <c r="B796" s="9"/>
      <c r="C796" s="9"/>
      <c r="D796" s="9"/>
      <c r="E796" s="9"/>
      <c r="F796" s="10"/>
      <c r="G796" s="10"/>
      <c r="H796" s="9"/>
      <c r="I796" s="9"/>
      <c r="J796" s="8"/>
      <c r="K796" s="9"/>
    </row>
    <row r="797">
      <c r="A797" s="9"/>
      <c r="B797" s="9"/>
      <c r="C797" s="9"/>
      <c r="D797" s="9"/>
      <c r="E797" s="9"/>
      <c r="F797" s="10"/>
      <c r="G797" s="10"/>
      <c r="H797" s="9"/>
      <c r="I797" s="9"/>
      <c r="J797" s="8"/>
      <c r="K797" s="9"/>
    </row>
    <row r="798">
      <c r="A798" s="9"/>
      <c r="B798" s="9"/>
      <c r="C798" s="9"/>
      <c r="D798" s="9"/>
      <c r="E798" s="9"/>
      <c r="F798" s="10"/>
      <c r="G798" s="10"/>
      <c r="H798" s="9"/>
      <c r="I798" s="9"/>
      <c r="J798" s="8"/>
      <c r="K798" s="9"/>
    </row>
    <row r="799">
      <c r="A799" s="9"/>
      <c r="B799" s="9"/>
      <c r="C799" s="9"/>
      <c r="D799" s="9"/>
      <c r="E799" s="9"/>
      <c r="F799" s="10"/>
      <c r="G799" s="10"/>
      <c r="H799" s="9"/>
      <c r="I799" s="9"/>
      <c r="J799" s="8"/>
      <c r="K799" s="9"/>
    </row>
    <row r="800">
      <c r="A800" s="9"/>
      <c r="B800" s="9"/>
      <c r="C800" s="9"/>
      <c r="D800" s="9"/>
      <c r="E800" s="9"/>
      <c r="F800" s="10"/>
      <c r="G800" s="10"/>
      <c r="H800" s="9"/>
      <c r="I800" s="9"/>
      <c r="J800" s="8"/>
      <c r="K800" s="9"/>
    </row>
    <row r="801">
      <c r="A801" s="9"/>
      <c r="B801" s="9"/>
      <c r="C801" s="9"/>
      <c r="D801" s="9"/>
      <c r="E801" s="9"/>
      <c r="F801" s="10"/>
      <c r="G801" s="10"/>
      <c r="H801" s="9"/>
      <c r="I801" s="9"/>
      <c r="J801" s="8"/>
      <c r="K801" s="9"/>
    </row>
    <row r="802">
      <c r="A802" s="9"/>
      <c r="B802" s="9"/>
      <c r="C802" s="9"/>
      <c r="D802" s="9"/>
      <c r="E802" s="9"/>
      <c r="F802" s="10"/>
      <c r="G802" s="10"/>
      <c r="H802" s="9"/>
      <c r="I802" s="9"/>
      <c r="J802" s="8"/>
      <c r="K802" s="9"/>
    </row>
    <row r="803">
      <c r="A803" s="9"/>
      <c r="B803" s="9"/>
      <c r="C803" s="9"/>
      <c r="D803" s="9"/>
      <c r="E803" s="9"/>
      <c r="F803" s="10"/>
      <c r="G803" s="10"/>
      <c r="H803" s="9"/>
      <c r="I803" s="9"/>
      <c r="J803" s="8"/>
      <c r="K803" s="9"/>
    </row>
    <row r="804">
      <c r="A804" s="9"/>
      <c r="B804" s="9"/>
      <c r="C804" s="9"/>
      <c r="D804" s="9"/>
      <c r="E804" s="9"/>
      <c r="F804" s="10"/>
      <c r="G804" s="10"/>
      <c r="H804" s="9"/>
      <c r="I804" s="9"/>
      <c r="J804" s="8"/>
      <c r="K804" s="9"/>
    </row>
    <row r="805">
      <c r="A805" s="9"/>
      <c r="B805" s="9"/>
      <c r="C805" s="9"/>
      <c r="D805" s="9"/>
      <c r="E805" s="9"/>
      <c r="F805" s="10"/>
      <c r="G805" s="10"/>
      <c r="H805" s="9"/>
      <c r="I805" s="9"/>
      <c r="J805" s="8"/>
      <c r="K805" s="9"/>
    </row>
    <row r="806">
      <c r="A806" s="9"/>
      <c r="B806" s="9"/>
      <c r="C806" s="9"/>
      <c r="D806" s="9"/>
      <c r="E806" s="9"/>
      <c r="F806" s="10"/>
      <c r="G806" s="10"/>
      <c r="H806" s="9"/>
      <c r="I806" s="9"/>
      <c r="J806" s="8"/>
      <c r="K806" s="9"/>
    </row>
    <row r="807">
      <c r="A807" s="9"/>
      <c r="B807" s="9"/>
      <c r="C807" s="9"/>
      <c r="D807" s="9"/>
      <c r="E807" s="9"/>
      <c r="F807" s="10"/>
      <c r="G807" s="10"/>
      <c r="H807" s="9"/>
      <c r="I807" s="9"/>
      <c r="J807" s="8"/>
      <c r="K807" s="9"/>
    </row>
    <row r="808">
      <c r="A808" s="9"/>
      <c r="B808" s="9"/>
      <c r="C808" s="9"/>
      <c r="D808" s="9"/>
      <c r="E808" s="9"/>
      <c r="F808" s="10"/>
      <c r="G808" s="10"/>
      <c r="H808" s="9"/>
      <c r="I808" s="9"/>
      <c r="J808" s="8"/>
      <c r="K808" s="9"/>
    </row>
    <row r="809">
      <c r="A809" s="9"/>
      <c r="B809" s="9"/>
      <c r="C809" s="9"/>
      <c r="D809" s="9"/>
      <c r="E809" s="9"/>
      <c r="F809" s="10"/>
      <c r="G809" s="10"/>
      <c r="H809" s="9"/>
      <c r="I809" s="9"/>
      <c r="J809" s="8"/>
      <c r="K809" s="9"/>
    </row>
    <row r="810">
      <c r="A810" s="9"/>
      <c r="B810" s="9"/>
      <c r="C810" s="9"/>
      <c r="D810" s="9"/>
      <c r="E810" s="9"/>
      <c r="F810" s="10"/>
      <c r="G810" s="10"/>
      <c r="H810" s="9"/>
      <c r="I810" s="9"/>
      <c r="J810" s="8"/>
      <c r="K810" s="9"/>
    </row>
    <row r="811">
      <c r="A811" s="9"/>
      <c r="B811" s="9"/>
      <c r="C811" s="9"/>
      <c r="D811" s="9"/>
      <c r="E811" s="9"/>
      <c r="F811" s="10"/>
      <c r="G811" s="10"/>
      <c r="H811" s="9"/>
      <c r="I811" s="9"/>
      <c r="J811" s="8"/>
      <c r="K811" s="9"/>
    </row>
    <row r="812">
      <c r="A812" s="9"/>
      <c r="B812" s="9"/>
      <c r="C812" s="9"/>
      <c r="D812" s="9"/>
      <c r="E812" s="9"/>
      <c r="F812" s="10"/>
      <c r="G812" s="10"/>
      <c r="H812" s="9"/>
      <c r="I812" s="9"/>
      <c r="J812" s="8"/>
      <c r="K812" s="9"/>
    </row>
    <row r="813">
      <c r="A813" s="9"/>
      <c r="B813" s="9"/>
      <c r="C813" s="9"/>
      <c r="D813" s="9"/>
      <c r="E813" s="9"/>
      <c r="F813" s="10"/>
      <c r="G813" s="10"/>
      <c r="H813" s="9"/>
      <c r="I813" s="9"/>
      <c r="J813" s="8"/>
      <c r="K813" s="9"/>
    </row>
    <row r="814">
      <c r="A814" s="9"/>
      <c r="B814" s="9"/>
      <c r="C814" s="9"/>
      <c r="D814" s="9"/>
      <c r="E814" s="9"/>
      <c r="F814" s="10"/>
      <c r="G814" s="10"/>
      <c r="H814" s="9"/>
      <c r="I814" s="9"/>
      <c r="J814" s="8"/>
      <c r="K814" s="9"/>
    </row>
    <row r="815">
      <c r="A815" s="9"/>
      <c r="B815" s="9"/>
      <c r="C815" s="9"/>
      <c r="D815" s="9"/>
      <c r="E815" s="9"/>
      <c r="F815" s="10"/>
      <c r="G815" s="10"/>
      <c r="H815" s="9"/>
      <c r="I815" s="9"/>
      <c r="J815" s="8"/>
      <c r="K815" s="9"/>
    </row>
    <row r="816">
      <c r="A816" s="9"/>
      <c r="B816" s="9"/>
      <c r="C816" s="9"/>
      <c r="D816" s="9"/>
      <c r="E816" s="9"/>
      <c r="F816" s="10"/>
      <c r="G816" s="10"/>
      <c r="H816" s="9"/>
      <c r="I816" s="9"/>
      <c r="J816" s="8"/>
      <c r="K816" s="9"/>
    </row>
    <row r="817">
      <c r="A817" s="9"/>
      <c r="B817" s="9"/>
      <c r="C817" s="9"/>
      <c r="D817" s="9"/>
      <c r="E817" s="9"/>
      <c r="F817" s="10"/>
      <c r="G817" s="10"/>
      <c r="H817" s="9"/>
      <c r="I817" s="9"/>
      <c r="J817" s="8"/>
      <c r="K817" s="9"/>
    </row>
    <row r="818">
      <c r="A818" s="9"/>
      <c r="B818" s="9"/>
      <c r="C818" s="9"/>
      <c r="D818" s="9"/>
      <c r="E818" s="9"/>
      <c r="F818" s="10"/>
      <c r="G818" s="10"/>
      <c r="H818" s="9"/>
      <c r="I818" s="9"/>
      <c r="J818" s="8"/>
      <c r="K818" s="9"/>
    </row>
    <row r="819">
      <c r="A819" s="9"/>
      <c r="B819" s="9"/>
      <c r="C819" s="9"/>
      <c r="D819" s="9"/>
      <c r="E819" s="9"/>
      <c r="F819" s="10"/>
      <c r="G819" s="10"/>
      <c r="H819" s="9"/>
      <c r="I819" s="9"/>
      <c r="J819" s="8"/>
      <c r="K819" s="9"/>
    </row>
    <row r="820">
      <c r="A820" s="9"/>
      <c r="B820" s="9"/>
      <c r="C820" s="9"/>
      <c r="D820" s="9"/>
      <c r="E820" s="9"/>
      <c r="F820" s="10"/>
      <c r="G820" s="10"/>
      <c r="H820" s="9"/>
      <c r="I820" s="9"/>
      <c r="J820" s="8"/>
      <c r="K820" s="9"/>
    </row>
    <row r="821">
      <c r="A821" s="9"/>
      <c r="B821" s="9"/>
      <c r="C821" s="9"/>
      <c r="D821" s="9"/>
      <c r="E821" s="9"/>
      <c r="F821" s="10"/>
      <c r="G821" s="10"/>
      <c r="H821" s="9"/>
      <c r="I821" s="9"/>
      <c r="J821" s="8"/>
      <c r="K821" s="9"/>
    </row>
    <row r="822">
      <c r="A822" s="9"/>
      <c r="B822" s="9"/>
      <c r="C822" s="9"/>
      <c r="D822" s="9"/>
      <c r="E822" s="9"/>
      <c r="F822" s="10"/>
      <c r="G822" s="10"/>
      <c r="H822" s="9"/>
      <c r="I822" s="9"/>
      <c r="J822" s="8"/>
      <c r="K822" s="9"/>
    </row>
    <row r="823">
      <c r="A823" s="9"/>
      <c r="B823" s="9"/>
      <c r="C823" s="9"/>
      <c r="D823" s="9"/>
      <c r="E823" s="9"/>
      <c r="F823" s="10"/>
      <c r="G823" s="10"/>
      <c r="H823" s="9"/>
      <c r="I823" s="9"/>
      <c r="J823" s="8"/>
      <c r="K823" s="9"/>
    </row>
    <row r="824">
      <c r="A824" s="9"/>
      <c r="B824" s="9"/>
      <c r="C824" s="9"/>
      <c r="D824" s="9"/>
      <c r="E824" s="9"/>
      <c r="F824" s="10"/>
      <c r="G824" s="10"/>
      <c r="H824" s="9"/>
      <c r="I824" s="9"/>
      <c r="J824" s="8"/>
      <c r="K824" s="9"/>
    </row>
    <row r="825">
      <c r="A825" s="9"/>
      <c r="B825" s="9"/>
      <c r="C825" s="9"/>
      <c r="D825" s="9"/>
      <c r="E825" s="9"/>
      <c r="F825" s="10"/>
      <c r="G825" s="10"/>
      <c r="H825" s="9"/>
      <c r="I825" s="9"/>
      <c r="J825" s="8"/>
      <c r="K825" s="9"/>
    </row>
    <row r="826">
      <c r="A826" s="9"/>
      <c r="B826" s="9"/>
      <c r="C826" s="9"/>
      <c r="D826" s="9"/>
      <c r="E826" s="9"/>
      <c r="F826" s="10"/>
      <c r="G826" s="10"/>
      <c r="H826" s="9"/>
      <c r="I826" s="9"/>
      <c r="J826" s="8"/>
      <c r="K826" s="9"/>
    </row>
    <row r="827">
      <c r="A827" s="9"/>
      <c r="B827" s="9"/>
      <c r="C827" s="9"/>
      <c r="D827" s="9"/>
      <c r="E827" s="9"/>
      <c r="F827" s="10"/>
      <c r="G827" s="10"/>
      <c r="H827" s="9"/>
      <c r="I827" s="9"/>
      <c r="J827" s="8"/>
      <c r="K827" s="9"/>
    </row>
    <row r="828">
      <c r="A828" s="9"/>
      <c r="B828" s="9"/>
      <c r="C828" s="9"/>
      <c r="D828" s="9"/>
      <c r="E828" s="9"/>
      <c r="F828" s="10"/>
      <c r="G828" s="10"/>
      <c r="H828" s="9"/>
      <c r="I828" s="9"/>
      <c r="J828" s="8"/>
      <c r="K828" s="9"/>
    </row>
    <row r="829">
      <c r="A829" s="9"/>
      <c r="B829" s="9"/>
      <c r="C829" s="9"/>
      <c r="D829" s="9"/>
      <c r="E829" s="9"/>
      <c r="F829" s="10"/>
      <c r="G829" s="10"/>
      <c r="H829" s="9"/>
      <c r="I829" s="9"/>
      <c r="J829" s="8"/>
      <c r="K829" s="9"/>
    </row>
    <row r="830">
      <c r="A830" s="9"/>
      <c r="B830" s="9"/>
      <c r="C830" s="9"/>
      <c r="D830" s="9"/>
      <c r="E830" s="9"/>
      <c r="F830" s="10"/>
      <c r="G830" s="10"/>
      <c r="H830" s="9"/>
      <c r="I830" s="9"/>
      <c r="J830" s="8"/>
      <c r="K830" s="9"/>
    </row>
    <row r="831">
      <c r="A831" s="9"/>
      <c r="B831" s="9"/>
      <c r="C831" s="9"/>
      <c r="D831" s="9"/>
      <c r="E831" s="9"/>
      <c r="F831" s="10"/>
      <c r="G831" s="10"/>
      <c r="H831" s="9"/>
      <c r="I831" s="9"/>
      <c r="J831" s="8"/>
      <c r="K831" s="9"/>
    </row>
    <row r="832">
      <c r="A832" s="9"/>
      <c r="B832" s="9"/>
      <c r="C832" s="9"/>
      <c r="D832" s="9"/>
      <c r="E832" s="9"/>
      <c r="F832" s="10"/>
      <c r="G832" s="10"/>
      <c r="H832" s="9"/>
      <c r="I832" s="9"/>
      <c r="J832" s="8"/>
      <c r="K832" s="9"/>
    </row>
    <row r="833">
      <c r="A833" s="9"/>
      <c r="B833" s="9"/>
      <c r="C833" s="9"/>
      <c r="D833" s="9"/>
      <c r="E833" s="9"/>
      <c r="F833" s="10"/>
      <c r="G833" s="10"/>
      <c r="H833" s="9"/>
      <c r="I833" s="9"/>
      <c r="J833" s="8"/>
      <c r="K833" s="9"/>
    </row>
    <row r="834">
      <c r="A834" s="9"/>
      <c r="B834" s="9"/>
      <c r="C834" s="9"/>
      <c r="D834" s="9"/>
      <c r="E834" s="9"/>
      <c r="F834" s="10"/>
      <c r="G834" s="10"/>
      <c r="H834" s="9"/>
      <c r="I834" s="9"/>
      <c r="J834" s="8"/>
      <c r="K834" s="9"/>
    </row>
    <row r="835">
      <c r="A835" s="9"/>
      <c r="B835" s="9"/>
      <c r="C835" s="9"/>
      <c r="D835" s="9"/>
      <c r="E835" s="9"/>
      <c r="F835" s="10"/>
      <c r="G835" s="10"/>
      <c r="H835" s="9"/>
      <c r="I835" s="9"/>
      <c r="J835" s="8"/>
      <c r="K835" s="9"/>
    </row>
    <row r="836">
      <c r="A836" s="9"/>
      <c r="B836" s="9"/>
      <c r="C836" s="9"/>
      <c r="D836" s="9"/>
      <c r="E836" s="9"/>
      <c r="F836" s="10"/>
      <c r="G836" s="10"/>
      <c r="H836" s="9"/>
      <c r="I836" s="9"/>
      <c r="J836" s="8"/>
      <c r="K836" s="9"/>
    </row>
    <row r="837">
      <c r="A837" s="9"/>
      <c r="B837" s="9"/>
      <c r="C837" s="9"/>
      <c r="D837" s="9"/>
      <c r="E837" s="9"/>
      <c r="F837" s="10"/>
      <c r="G837" s="10"/>
      <c r="H837" s="9"/>
      <c r="I837" s="9"/>
      <c r="J837" s="8"/>
      <c r="K837" s="9"/>
    </row>
    <row r="838">
      <c r="A838" s="9"/>
      <c r="B838" s="9"/>
      <c r="C838" s="9"/>
      <c r="D838" s="9"/>
      <c r="E838" s="9"/>
      <c r="F838" s="10"/>
      <c r="G838" s="10"/>
      <c r="H838" s="9"/>
      <c r="I838" s="9"/>
      <c r="J838" s="8"/>
      <c r="K838" s="9"/>
    </row>
    <row r="839">
      <c r="A839" s="9"/>
      <c r="B839" s="9"/>
      <c r="C839" s="9"/>
      <c r="D839" s="9"/>
      <c r="E839" s="9"/>
      <c r="F839" s="10"/>
      <c r="G839" s="10"/>
      <c r="H839" s="9"/>
      <c r="I839" s="9"/>
      <c r="J839" s="8"/>
      <c r="K839" s="9"/>
    </row>
    <row r="840">
      <c r="A840" s="9"/>
      <c r="B840" s="9"/>
      <c r="C840" s="9"/>
      <c r="D840" s="9"/>
      <c r="E840" s="9"/>
      <c r="F840" s="10"/>
      <c r="G840" s="10"/>
      <c r="H840" s="9"/>
      <c r="I840" s="9"/>
      <c r="J840" s="8"/>
      <c r="K840" s="9"/>
    </row>
    <row r="841">
      <c r="A841" s="9"/>
      <c r="B841" s="9"/>
      <c r="C841" s="9"/>
      <c r="D841" s="9"/>
      <c r="E841" s="9"/>
      <c r="F841" s="10"/>
      <c r="G841" s="10"/>
      <c r="H841" s="9"/>
      <c r="I841" s="9"/>
      <c r="J841" s="8"/>
      <c r="K841" s="9"/>
    </row>
    <row r="842">
      <c r="A842" s="9"/>
      <c r="B842" s="9"/>
      <c r="C842" s="9"/>
      <c r="D842" s="9"/>
      <c r="E842" s="9"/>
      <c r="F842" s="10"/>
      <c r="G842" s="10"/>
      <c r="H842" s="9"/>
      <c r="I842" s="9"/>
      <c r="J842" s="8"/>
      <c r="K842" s="9"/>
    </row>
    <row r="843">
      <c r="A843" s="9"/>
      <c r="B843" s="9"/>
      <c r="C843" s="9"/>
      <c r="D843" s="9"/>
      <c r="E843" s="9"/>
      <c r="F843" s="10"/>
      <c r="G843" s="10"/>
      <c r="H843" s="9"/>
      <c r="I843" s="9"/>
      <c r="J843" s="8"/>
      <c r="K843" s="9"/>
    </row>
    <row r="844">
      <c r="A844" s="9"/>
      <c r="B844" s="9"/>
      <c r="C844" s="9"/>
      <c r="D844" s="9"/>
      <c r="E844" s="9"/>
      <c r="F844" s="10"/>
      <c r="G844" s="10"/>
      <c r="H844" s="9"/>
      <c r="I844" s="9"/>
      <c r="J844" s="8"/>
      <c r="K844" s="9"/>
    </row>
    <row r="845">
      <c r="A845" s="9"/>
      <c r="B845" s="9"/>
      <c r="C845" s="9"/>
      <c r="D845" s="9"/>
      <c r="E845" s="9"/>
      <c r="F845" s="10"/>
      <c r="G845" s="10"/>
      <c r="H845" s="9"/>
      <c r="I845" s="9"/>
      <c r="J845" s="8"/>
      <c r="K845" s="9"/>
    </row>
    <row r="846">
      <c r="A846" s="9"/>
      <c r="B846" s="9"/>
      <c r="C846" s="9"/>
      <c r="D846" s="9"/>
      <c r="E846" s="9"/>
      <c r="F846" s="10"/>
      <c r="G846" s="10"/>
      <c r="H846" s="9"/>
      <c r="I846" s="9"/>
      <c r="J846" s="8"/>
      <c r="K846" s="9"/>
    </row>
    <row r="847">
      <c r="A847" s="9"/>
      <c r="B847" s="9"/>
      <c r="C847" s="9"/>
      <c r="D847" s="9"/>
      <c r="E847" s="9"/>
      <c r="F847" s="10"/>
      <c r="G847" s="10"/>
      <c r="H847" s="9"/>
      <c r="I847" s="9"/>
      <c r="J847" s="8"/>
      <c r="K847" s="9"/>
    </row>
    <row r="848">
      <c r="A848" s="9"/>
      <c r="B848" s="9"/>
      <c r="C848" s="9"/>
      <c r="D848" s="9"/>
      <c r="E848" s="9"/>
      <c r="F848" s="10"/>
      <c r="G848" s="10"/>
      <c r="H848" s="9"/>
      <c r="I848" s="9"/>
      <c r="J848" s="8"/>
      <c r="K848" s="9"/>
    </row>
    <row r="849">
      <c r="A849" s="9"/>
      <c r="B849" s="9"/>
      <c r="C849" s="9"/>
      <c r="D849" s="9"/>
      <c r="E849" s="9"/>
      <c r="F849" s="10"/>
      <c r="G849" s="10"/>
      <c r="H849" s="9"/>
      <c r="I849" s="9"/>
      <c r="J849" s="8"/>
      <c r="K849" s="9"/>
    </row>
    <row r="850">
      <c r="A850" s="9"/>
      <c r="B850" s="9"/>
      <c r="C850" s="9"/>
      <c r="D850" s="9"/>
      <c r="E850" s="9"/>
      <c r="F850" s="10"/>
      <c r="G850" s="10"/>
      <c r="H850" s="9"/>
      <c r="I850" s="9"/>
      <c r="J850" s="8"/>
      <c r="K850" s="9"/>
    </row>
    <row r="851">
      <c r="A851" s="9"/>
      <c r="B851" s="9"/>
      <c r="C851" s="9"/>
      <c r="D851" s="9"/>
      <c r="E851" s="9"/>
      <c r="F851" s="10"/>
      <c r="G851" s="10"/>
      <c r="H851" s="9"/>
      <c r="I851" s="9"/>
      <c r="J851" s="8"/>
      <c r="K851" s="9"/>
    </row>
    <row r="852">
      <c r="A852" s="9"/>
      <c r="B852" s="9"/>
      <c r="C852" s="9"/>
      <c r="D852" s="9"/>
      <c r="E852" s="9"/>
      <c r="F852" s="10"/>
      <c r="G852" s="10"/>
      <c r="H852" s="9"/>
      <c r="I852" s="9"/>
      <c r="J852" s="8"/>
      <c r="K852" s="9"/>
    </row>
    <row r="853">
      <c r="A853" s="9"/>
      <c r="B853" s="9"/>
      <c r="C853" s="9"/>
      <c r="D853" s="9"/>
      <c r="E853" s="9"/>
      <c r="F853" s="10"/>
      <c r="G853" s="10"/>
      <c r="H853" s="9"/>
      <c r="I853" s="9"/>
      <c r="J853" s="8"/>
      <c r="K853" s="9"/>
    </row>
    <row r="854">
      <c r="A854" s="9"/>
      <c r="B854" s="9"/>
      <c r="C854" s="9"/>
      <c r="D854" s="9"/>
      <c r="E854" s="9"/>
      <c r="F854" s="10"/>
      <c r="G854" s="10"/>
      <c r="H854" s="9"/>
      <c r="I854" s="9"/>
      <c r="J854" s="8"/>
      <c r="K854" s="9"/>
    </row>
    <row r="855">
      <c r="A855" s="9"/>
      <c r="B855" s="9"/>
      <c r="C855" s="9"/>
      <c r="D855" s="9"/>
      <c r="E855" s="9"/>
      <c r="F855" s="10"/>
      <c r="G855" s="10"/>
      <c r="H855" s="9"/>
      <c r="I855" s="9"/>
      <c r="J855" s="8"/>
      <c r="K855" s="9"/>
    </row>
    <row r="856">
      <c r="A856" s="9"/>
      <c r="B856" s="9"/>
      <c r="C856" s="9"/>
      <c r="D856" s="9"/>
      <c r="E856" s="9"/>
      <c r="F856" s="10"/>
      <c r="G856" s="10"/>
      <c r="H856" s="9"/>
      <c r="I856" s="9"/>
      <c r="J856" s="8"/>
      <c r="K856" s="9"/>
    </row>
    <row r="857">
      <c r="A857" s="9"/>
      <c r="B857" s="9"/>
      <c r="C857" s="9"/>
      <c r="D857" s="9"/>
      <c r="E857" s="9"/>
      <c r="F857" s="10"/>
      <c r="G857" s="10"/>
      <c r="H857" s="9"/>
      <c r="I857" s="9"/>
      <c r="J857" s="8"/>
      <c r="K857" s="9"/>
    </row>
    <row r="858">
      <c r="A858" s="9"/>
      <c r="B858" s="9"/>
      <c r="C858" s="9"/>
      <c r="D858" s="9"/>
      <c r="E858" s="9"/>
      <c r="F858" s="10"/>
      <c r="G858" s="10"/>
      <c r="H858" s="9"/>
      <c r="I858" s="9"/>
      <c r="J858" s="8"/>
      <c r="K858" s="9"/>
    </row>
    <row r="859">
      <c r="A859" s="9"/>
      <c r="B859" s="9"/>
      <c r="C859" s="9"/>
      <c r="D859" s="9"/>
      <c r="E859" s="9"/>
      <c r="F859" s="10"/>
      <c r="G859" s="10"/>
      <c r="H859" s="9"/>
      <c r="I859" s="9"/>
      <c r="J859" s="8"/>
      <c r="K859" s="9"/>
    </row>
    <row r="860">
      <c r="A860" s="9"/>
      <c r="B860" s="9"/>
      <c r="C860" s="9"/>
      <c r="D860" s="9"/>
      <c r="E860" s="9"/>
      <c r="F860" s="10"/>
      <c r="G860" s="10"/>
      <c r="H860" s="9"/>
      <c r="I860" s="9"/>
      <c r="J860" s="8"/>
      <c r="K860" s="9"/>
    </row>
    <row r="861">
      <c r="A861" s="9"/>
      <c r="B861" s="9"/>
      <c r="C861" s="9"/>
      <c r="D861" s="9"/>
      <c r="E861" s="9"/>
      <c r="F861" s="10"/>
      <c r="G861" s="10"/>
      <c r="H861" s="9"/>
      <c r="I861" s="9"/>
      <c r="J861" s="8"/>
      <c r="K861" s="9"/>
    </row>
    <row r="862">
      <c r="A862" s="9"/>
      <c r="B862" s="9"/>
      <c r="C862" s="9"/>
      <c r="D862" s="9"/>
      <c r="E862" s="9"/>
      <c r="F862" s="10"/>
      <c r="G862" s="10"/>
      <c r="H862" s="9"/>
      <c r="I862" s="9"/>
      <c r="J862" s="8"/>
      <c r="K862" s="9"/>
    </row>
    <row r="863">
      <c r="A863" s="9"/>
      <c r="B863" s="9"/>
      <c r="C863" s="9"/>
      <c r="D863" s="9"/>
      <c r="E863" s="9"/>
      <c r="F863" s="10"/>
      <c r="G863" s="10"/>
      <c r="H863" s="9"/>
      <c r="I863" s="9"/>
      <c r="J863" s="8"/>
      <c r="K863" s="9"/>
    </row>
    <row r="864">
      <c r="A864" s="9"/>
      <c r="B864" s="9"/>
      <c r="C864" s="9"/>
      <c r="D864" s="9"/>
      <c r="E864" s="9"/>
      <c r="F864" s="10"/>
      <c r="G864" s="10"/>
      <c r="H864" s="9"/>
      <c r="I864" s="9"/>
      <c r="J864" s="8"/>
      <c r="K864" s="9"/>
    </row>
    <row r="865">
      <c r="A865" s="9"/>
      <c r="B865" s="9"/>
      <c r="C865" s="9"/>
      <c r="D865" s="9"/>
      <c r="E865" s="9"/>
      <c r="F865" s="10"/>
      <c r="G865" s="10"/>
      <c r="H865" s="9"/>
      <c r="I865" s="9"/>
      <c r="J865" s="8"/>
      <c r="K865" s="9"/>
    </row>
    <row r="866">
      <c r="A866" s="9"/>
      <c r="B866" s="9"/>
      <c r="C866" s="9"/>
      <c r="D866" s="9"/>
      <c r="E866" s="9"/>
      <c r="F866" s="10"/>
      <c r="G866" s="10"/>
      <c r="H866" s="9"/>
      <c r="I866" s="9"/>
      <c r="J866" s="8"/>
      <c r="K866" s="9"/>
    </row>
    <row r="867">
      <c r="A867" s="9"/>
      <c r="B867" s="9"/>
      <c r="C867" s="9"/>
      <c r="D867" s="9"/>
      <c r="E867" s="9"/>
      <c r="F867" s="10"/>
      <c r="G867" s="10"/>
      <c r="H867" s="9"/>
      <c r="I867" s="9"/>
      <c r="J867" s="8"/>
      <c r="K867" s="9"/>
    </row>
    <row r="868">
      <c r="A868" s="9"/>
      <c r="B868" s="9"/>
      <c r="C868" s="9"/>
      <c r="D868" s="9"/>
      <c r="E868" s="9"/>
      <c r="F868" s="10"/>
      <c r="G868" s="10"/>
      <c r="H868" s="9"/>
      <c r="I868" s="9"/>
      <c r="J868" s="8"/>
      <c r="K868" s="9"/>
    </row>
    <row r="869">
      <c r="A869" s="9"/>
      <c r="B869" s="9"/>
      <c r="C869" s="9"/>
      <c r="D869" s="9"/>
      <c r="E869" s="9"/>
      <c r="F869" s="10"/>
      <c r="G869" s="10"/>
      <c r="H869" s="9"/>
      <c r="I869" s="9"/>
      <c r="J869" s="8"/>
      <c r="K869" s="9"/>
    </row>
    <row r="870">
      <c r="A870" s="9"/>
      <c r="B870" s="9"/>
      <c r="C870" s="9"/>
      <c r="D870" s="9"/>
      <c r="E870" s="9"/>
      <c r="F870" s="10"/>
      <c r="G870" s="10"/>
      <c r="H870" s="9"/>
      <c r="I870" s="9"/>
      <c r="J870" s="8"/>
      <c r="K870" s="9"/>
    </row>
    <row r="871">
      <c r="A871" s="9"/>
      <c r="B871" s="9"/>
      <c r="C871" s="9"/>
      <c r="D871" s="9"/>
      <c r="E871" s="9"/>
      <c r="F871" s="10"/>
      <c r="G871" s="10"/>
      <c r="H871" s="9"/>
      <c r="I871" s="9"/>
      <c r="J871" s="8"/>
      <c r="K871" s="9"/>
    </row>
    <row r="872">
      <c r="A872" s="9"/>
      <c r="B872" s="9"/>
      <c r="C872" s="9"/>
      <c r="D872" s="9"/>
      <c r="E872" s="9"/>
      <c r="F872" s="10"/>
      <c r="G872" s="10"/>
      <c r="H872" s="9"/>
      <c r="I872" s="9"/>
      <c r="J872" s="8"/>
      <c r="K872" s="9"/>
    </row>
    <row r="873">
      <c r="A873" s="9"/>
      <c r="B873" s="9"/>
      <c r="C873" s="9"/>
      <c r="D873" s="9"/>
      <c r="E873" s="9"/>
      <c r="F873" s="10"/>
      <c r="G873" s="10"/>
      <c r="H873" s="9"/>
      <c r="I873" s="9"/>
      <c r="J873" s="8"/>
      <c r="K873" s="9"/>
    </row>
    <row r="874">
      <c r="A874" s="9"/>
      <c r="B874" s="9"/>
      <c r="C874" s="9"/>
      <c r="D874" s="9"/>
      <c r="E874" s="9"/>
      <c r="F874" s="10"/>
      <c r="G874" s="10"/>
      <c r="H874" s="9"/>
      <c r="I874" s="9"/>
      <c r="J874" s="8"/>
      <c r="K874" s="9"/>
    </row>
    <row r="875">
      <c r="A875" s="9"/>
      <c r="B875" s="9"/>
      <c r="C875" s="9"/>
      <c r="D875" s="9"/>
      <c r="E875" s="9"/>
      <c r="F875" s="10"/>
      <c r="G875" s="10"/>
      <c r="H875" s="9"/>
      <c r="I875" s="9"/>
      <c r="J875" s="8"/>
      <c r="K875" s="9"/>
    </row>
    <row r="876">
      <c r="A876" s="9"/>
      <c r="B876" s="9"/>
      <c r="C876" s="9"/>
      <c r="D876" s="9"/>
      <c r="E876" s="9"/>
      <c r="F876" s="10"/>
      <c r="G876" s="10"/>
      <c r="H876" s="9"/>
      <c r="I876" s="9"/>
      <c r="J876" s="8"/>
      <c r="K876" s="9"/>
    </row>
    <row r="877">
      <c r="A877" s="9"/>
      <c r="B877" s="9"/>
      <c r="C877" s="9"/>
      <c r="D877" s="9"/>
      <c r="E877" s="9"/>
      <c r="F877" s="10"/>
      <c r="G877" s="10"/>
      <c r="H877" s="9"/>
      <c r="I877" s="9"/>
      <c r="J877" s="8"/>
      <c r="K877" s="9"/>
    </row>
    <row r="878">
      <c r="A878" s="9"/>
      <c r="B878" s="9"/>
      <c r="C878" s="9"/>
      <c r="D878" s="9"/>
      <c r="E878" s="9"/>
      <c r="F878" s="10"/>
      <c r="G878" s="10"/>
      <c r="H878" s="9"/>
      <c r="I878" s="9"/>
      <c r="J878" s="8"/>
      <c r="K878" s="9"/>
    </row>
    <row r="879">
      <c r="A879" s="9"/>
      <c r="B879" s="9"/>
      <c r="C879" s="9"/>
      <c r="D879" s="9"/>
      <c r="E879" s="9"/>
      <c r="F879" s="10"/>
      <c r="G879" s="10"/>
      <c r="H879" s="9"/>
      <c r="I879" s="9"/>
      <c r="J879" s="8"/>
      <c r="K879" s="9"/>
    </row>
    <row r="880">
      <c r="A880" s="9"/>
      <c r="B880" s="9"/>
      <c r="C880" s="9"/>
      <c r="D880" s="9"/>
      <c r="E880" s="9"/>
      <c r="F880" s="10"/>
      <c r="G880" s="10"/>
      <c r="H880" s="9"/>
      <c r="I880" s="9"/>
      <c r="J880" s="8"/>
      <c r="K880" s="9"/>
    </row>
    <row r="881">
      <c r="A881" s="9"/>
      <c r="B881" s="9"/>
      <c r="C881" s="9"/>
      <c r="D881" s="9"/>
      <c r="E881" s="9"/>
      <c r="F881" s="10"/>
      <c r="G881" s="10"/>
      <c r="H881" s="9"/>
      <c r="I881" s="9"/>
      <c r="J881" s="8"/>
      <c r="K881" s="9"/>
    </row>
    <row r="882">
      <c r="A882" s="9"/>
      <c r="B882" s="9"/>
      <c r="C882" s="9"/>
      <c r="D882" s="9"/>
      <c r="E882" s="9"/>
      <c r="F882" s="10"/>
      <c r="G882" s="10"/>
      <c r="H882" s="9"/>
      <c r="I882" s="9"/>
      <c r="J882" s="8"/>
      <c r="K882" s="9"/>
    </row>
    <row r="883">
      <c r="A883" s="9"/>
      <c r="B883" s="9"/>
      <c r="C883" s="9"/>
      <c r="D883" s="9"/>
      <c r="E883" s="9"/>
      <c r="F883" s="10"/>
      <c r="G883" s="10"/>
      <c r="H883" s="9"/>
      <c r="I883" s="9"/>
      <c r="J883" s="8"/>
      <c r="K883" s="9"/>
    </row>
    <row r="884">
      <c r="A884" s="9"/>
      <c r="B884" s="9"/>
      <c r="C884" s="9"/>
      <c r="D884" s="9"/>
      <c r="E884" s="9"/>
      <c r="F884" s="10"/>
      <c r="G884" s="10"/>
      <c r="H884" s="9"/>
      <c r="I884" s="9"/>
      <c r="J884" s="8"/>
      <c r="K884" s="9"/>
    </row>
    <row r="885">
      <c r="A885" s="9"/>
      <c r="B885" s="9"/>
      <c r="C885" s="9"/>
      <c r="D885" s="9"/>
      <c r="E885" s="9"/>
      <c r="F885" s="10"/>
      <c r="G885" s="10"/>
      <c r="H885" s="9"/>
      <c r="I885" s="9"/>
      <c r="J885" s="8"/>
      <c r="K885" s="9"/>
    </row>
    <row r="886">
      <c r="A886" s="9"/>
      <c r="B886" s="9"/>
      <c r="C886" s="9"/>
      <c r="D886" s="9"/>
      <c r="E886" s="9"/>
      <c r="F886" s="10"/>
      <c r="G886" s="10"/>
      <c r="H886" s="9"/>
      <c r="I886" s="9"/>
      <c r="J886" s="8"/>
      <c r="K886" s="9"/>
    </row>
    <row r="887">
      <c r="A887" s="9"/>
      <c r="B887" s="9"/>
      <c r="C887" s="9"/>
      <c r="D887" s="9"/>
      <c r="E887" s="9"/>
      <c r="F887" s="10"/>
      <c r="G887" s="10"/>
      <c r="H887" s="9"/>
      <c r="I887" s="9"/>
      <c r="J887" s="8"/>
      <c r="K887" s="9"/>
    </row>
    <row r="888">
      <c r="A888" s="9"/>
      <c r="B888" s="9"/>
      <c r="C888" s="9"/>
      <c r="D888" s="9"/>
      <c r="E888" s="9"/>
      <c r="F888" s="10"/>
      <c r="G888" s="10"/>
      <c r="H888" s="9"/>
      <c r="I888" s="9"/>
      <c r="J888" s="8"/>
      <c r="K888" s="9"/>
    </row>
    <row r="889">
      <c r="A889" s="9"/>
      <c r="B889" s="9"/>
      <c r="C889" s="9"/>
      <c r="D889" s="9"/>
      <c r="E889" s="9"/>
      <c r="F889" s="10"/>
      <c r="G889" s="10"/>
      <c r="H889" s="9"/>
      <c r="I889" s="9"/>
      <c r="J889" s="8"/>
      <c r="K889" s="9"/>
    </row>
    <row r="890">
      <c r="A890" s="9"/>
      <c r="B890" s="9"/>
      <c r="C890" s="9"/>
      <c r="D890" s="9"/>
      <c r="E890" s="9"/>
      <c r="F890" s="10"/>
      <c r="G890" s="10"/>
      <c r="H890" s="9"/>
      <c r="I890" s="9"/>
      <c r="J890" s="8"/>
      <c r="K890" s="9"/>
    </row>
    <row r="891">
      <c r="A891" s="9"/>
      <c r="B891" s="9"/>
      <c r="C891" s="9"/>
      <c r="D891" s="9"/>
      <c r="E891" s="9"/>
      <c r="F891" s="10"/>
      <c r="G891" s="10"/>
      <c r="H891" s="9"/>
      <c r="I891" s="9"/>
      <c r="J891" s="8"/>
      <c r="K891" s="9"/>
    </row>
    <row r="892">
      <c r="A892" s="9"/>
      <c r="B892" s="9"/>
      <c r="C892" s="9"/>
      <c r="D892" s="9"/>
      <c r="E892" s="9"/>
      <c r="F892" s="10"/>
      <c r="G892" s="10"/>
      <c r="H892" s="9"/>
      <c r="I892" s="9"/>
      <c r="J892" s="8"/>
      <c r="K892" s="9"/>
    </row>
    <row r="893">
      <c r="A893" s="9"/>
      <c r="B893" s="9"/>
      <c r="C893" s="9"/>
      <c r="D893" s="9"/>
      <c r="E893" s="9"/>
      <c r="F893" s="10"/>
      <c r="G893" s="10"/>
      <c r="H893" s="9"/>
      <c r="I893" s="9"/>
      <c r="J893" s="8"/>
      <c r="K893" s="9"/>
    </row>
    <row r="894">
      <c r="A894" s="9"/>
      <c r="B894" s="9"/>
      <c r="C894" s="9"/>
      <c r="D894" s="9"/>
      <c r="E894" s="9"/>
      <c r="F894" s="10"/>
      <c r="G894" s="10"/>
      <c r="H894" s="9"/>
      <c r="I894" s="9"/>
      <c r="J894" s="8"/>
      <c r="K894" s="9"/>
    </row>
    <row r="895">
      <c r="A895" s="9"/>
      <c r="B895" s="9"/>
      <c r="C895" s="9"/>
      <c r="D895" s="9"/>
      <c r="E895" s="9"/>
      <c r="F895" s="10"/>
      <c r="G895" s="10"/>
      <c r="H895" s="9"/>
      <c r="I895" s="9"/>
      <c r="J895" s="8"/>
      <c r="K895" s="9"/>
    </row>
    <row r="896">
      <c r="A896" s="9"/>
      <c r="B896" s="9"/>
      <c r="C896" s="9"/>
      <c r="D896" s="9"/>
      <c r="E896" s="9"/>
      <c r="F896" s="10"/>
      <c r="G896" s="10"/>
      <c r="H896" s="9"/>
      <c r="I896" s="9"/>
      <c r="J896" s="8"/>
      <c r="K896" s="9"/>
    </row>
    <row r="897">
      <c r="A897" s="9"/>
      <c r="B897" s="9"/>
      <c r="C897" s="9"/>
      <c r="D897" s="9"/>
      <c r="E897" s="9"/>
      <c r="F897" s="10"/>
      <c r="G897" s="10"/>
      <c r="H897" s="9"/>
      <c r="I897" s="9"/>
      <c r="J897" s="8"/>
      <c r="K897" s="9"/>
    </row>
    <row r="898">
      <c r="A898" s="9"/>
      <c r="B898" s="9"/>
      <c r="C898" s="9"/>
      <c r="D898" s="9"/>
      <c r="E898" s="9"/>
      <c r="F898" s="10"/>
      <c r="G898" s="10"/>
      <c r="H898" s="9"/>
      <c r="I898" s="9"/>
      <c r="J898" s="8"/>
      <c r="K898" s="9"/>
    </row>
    <row r="899">
      <c r="A899" s="9"/>
      <c r="B899" s="9"/>
      <c r="C899" s="9"/>
      <c r="D899" s="9"/>
      <c r="E899" s="9"/>
      <c r="F899" s="10"/>
      <c r="G899" s="10"/>
      <c r="H899" s="9"/>
      <c r="I899" s="9"/>
      <c r="J899" s="8"/>
      <c r="K899" s="9"/>
    </row>
    <row r="900">
      <c r="A900" s="9"/>
      <c r="B900" s="9"/>
      <c r="C900" s="9"/>
      <c r="D900" s="9"/>
      <c r="E900" s="9"/>
      <c r="F900" s="10"/>
      <c r="G900" s="10"/>
      <c r="H900" s="9"/>
      <c r="I900" s="9"/>
      <c r="J900" s="8"/>
      <c r="K900" s="9"/>
    </row>
    <row r="901">
      <c r="A901" s="9"/>
      <c r="B901" s="9"/>
      <c r="C901" s="9"/>
      <c r="D901" s="9"/>
      <c r="E901" s="9"/>
      <c r="F901" s="10"/>
      <c r="G901" s="10"/>
      <c r="H901" s="9"/>
      <c r="I901" s="9"/>
      <c r="J901" s="8"/>
      <c r="K901" s="9"/>
    </row>
    <row r="902">
      <c r="A902" s="9"/>
      <c r="B902" s="9"/>
      <c r="C902" s="9"/>
      <c r="D902" s="9"/>
      <c r="E902" s="9"/>
      <c r="F902" s="10"/>
      <c r="G902" s="10"/>
      <c r="H902" s="9"/>
      <c r="I902" s="9"/>
      <c r="J902" s="8"/>
      <c r="K902" s="9"/>
    </row>
    <row r="903">
      <c r="A903" s="9"/>
      <c r="B903" s="9"/>
      <c r="C903" s="9"/>
      <c r="D903" s="9"/>
      <c r="E903" s="9"/>
      <c r="F903" s="10"/>
      <c r="G903" s="10"/>
      <c r="H903" s="9"/>
      <c r="I903" s="9"/>
      <c r="J903" s="8"/>
      <c r="K903" s="9"/>
    </row>
    <row r="904">
      <c r="A904" s="9"/>
      <c r="B904" s="9"/>
      <c r="C904" s="9"/>
      <c r="D904" s="9"/>
      <c r="E904" s="9"/>
      <c r="F904" s="10"/>
      <c r="G904" s="10"/>
      <c r="H904" s="9"/>
      <c r="I904" s="9"/>
      <c r="J904" s="8"/>
      <c r="K904" s="9"/>
    </row>
    <row r="905">
      <c r="A905" s="9"/>
      <c r="B905" s="9"/>
      <c r="C905" s="9"/>
      <c r="D905" s="9"/>
      <c r="E905" s="9"/>
      <c r="F905" s="10"/>
      <c r="G905" s="10"/>
      <c r="H905" s="9"/>
      <c r="I905" s="9"/>
      <c r="J905" s="8"/>
      <c r="K905" s="9"/>
    </row>
    <row r="906">
      <c r="A906" s="9"/>
      <c r="B906" s="9"/>
      <c r="C906" s="9"/>
      <c r="D906" s="9"/>
      <c r="E906" s="9"/>
      <c r="F906" s="10"/>
      <c r="G906" s="10"/>
      <c r="H906" s="9"/>
      <c r="I906" s="9"/>
      <c r="J906" s="8"/>
      <c r="K906" s="9"/>
    </row>
    <row r="907">
      <c r="A907" s="9"/>
      <c r="B907" s="9"/>
      <c r="C907" s="9"/>
      <c r="D907" s="9"/>
      <c r="E907" s="9"/>
      <c r="F907" s="10"/>
      <c r="G907" s="10"/>
      <c r="H907" s="9"/>
      <c r="I907" s="9"/>
      <c r="J907" s="8"/>
      <c r="K907" s="9"/>
    </row>
    <row r="908">
      <c r="A908" s="9"/>
      <c r="B908" s="9"/>
      <c r="C908" s="9"/>
      <c r="D908" s="9"/>
      <c r="E908" s="9"/>
      <c r="F908" s="10"/>
      <c r="G908" s="10"/>
      <c r="H908" s="9"/>
      <c r="I908" s="9"/>
      <c r="J908" s="8"/>
      <c r="K908" s="9"/>
    </row>
    <row r="909">
      <c r="A909" s="9"/>
      <c r="B909" s="9"/>
      <c r="C909" s="9"/>
      <c r="D909" s="9"/>
      <c r="E909" s="9"/>
      <c r="F909" s="10"/>
      <c r="G909" s="10"/>
      <c r="H909" s="9"/>
      <c r="I909" s="9"/>
      <c r="J909" s="8"/>
      <c r="K909" s="9"/>
    </row>
    <row r="910">
      <c r="A910" s="9"/>
      <c r="B910" s="9"/>
      <c r="C910" s="9"/>
      <c r="D910" s="9"/>
      <c r="E910" s="9"/>
      <c r="F910" s="10"/>
      <c r="G910" s="10"/>
      <c r="H910" s="9"/>
      <c r="I910" s="9"/>
      <c r="J910" s="8"/>
      <c r="K910" s="9"/>
    </row>
    <row r="911">
      <c r="A911" s="9"/>
      <c r="B911" s="9"/>
      <c r="C911" s="9"/>
      <c r="D911" s="9"/>
      <c r="E911" s="9"/>
      <c r="F911" s="10"/>
      <c r="G911" s="10"/>
      <c r="H911" s="9"/>
      <c r="I911" s="9"/>
      <c r="J911" s="8"/>
      <c r="K911" s="9"/>
    </row>
    <row r="912">
      <c r="A912" s="9"/>
      <c r="B912" s="9"/>
      <c r="C912" s="9"/>
      <c r="D912" s="9"/>
      <c r="E912" s="9"/>
      <c r="F912" s="10"/>
      <c r="G912" s="10"/>
      <c r="H912" s="9"/>
      <c r="I912" s="9"/>
      <c r="J912" s="8"/>
      <c r="K912" s="9"/>
    </row>
    <row r="913">
      <c r="A913" s="9"/>
      <c r="B913" s="9"/>
      <c r="C913" s="9"/>
      <c r="D913" s="9"/>
      <c r="E913" s="9"/>
      <c r="F913" s="10"/>
      <c r="G913" s="10"/>
      <c r="H913" s="9"/>
      <c r="I913" s="9"/>
      <c r="J913" s="8"/>
      <c r="K913" s="9"/>
    </row>
    <row r="914">
      <c r="A914" s="9"/>
      <c r="B914" s="9"/>
      <c r="C914" s="9"/>
      <c r="D914" s="9"/>
      <c r="E914" s="9"/>
      <c r="F914" s="10"/>
      <c r="G914" s="10"/>
      <c r="H914" s="9"/>
      <c r="I914" s="9"/>
      <c r="J914" s="8"/>
      <c r="K914" s="9"/>
    </row>
    <row r="915">
      <c r="A915" s="9"/>
      <c r="B915" s="9"/>
      <c r="C915" s="9"/>
      <c r="D915" s="9"/>
      <c r="E915" s="9"/>
      <c r="F915" s="10"/>
      <c r="G915" s="10"/>
      <c r="H915" s="9"/>
      <c r="I915" s="9"/>
      <c r="J915" s="8"/>
      <c r="K915" s="9"/>
    </row>
    <row r="916">
      <c r="A916" s="9"/>
      <c r="B916" s="9"/>
      <c r="C916" s="9"/>
      <c r="D916" s="9"/>
      <c r="E916" s="9"/>
      <c r="F916" s="10"/>
      <c r="G916" s="10"/>
      <c r="H916" s="9"/>
      <c r="I916" s="9"/>
      <c r="J916" s="8"/>
      <c r="K916" s="9"/>
    </row>
    <row r="917">
      <c r="A917" s="9"/>
      <c r="B917" s="9"/>
      <c r="C917" s="9"/>
      <c r="D917" s="9"/>
      <c r="E917" s="9"/>
      <c r="F917" s="10"/>
      <c r="G917" s="10"/>
      <c r="H917" s="9"/>
      <c r="I917" s="9"/>
      <c r="J917" s="8"/>
      <c r="K917" s="9"/>
    </row>
    <row r="918">
      <c r="A918" s="9"/>
      <c r="B918" s="9"/>
      <c r="C918" s="9"/>
      <c r="D918" s="9"/>
      <c r="E918" s="9"/>
      <c r="F918" s="10"/>
      <c r="G918" s="10"/>
      <c r="H918" s="9"/>
      <c r="I918" s="9"/>
      <c r="J918" s="8"/>
      <c r="K918" s="9"/>
    </row>
    <row r="919">
      <c r="A919" s="9"/>
      <c r="B919" s="9"/>
      <c r="C919" s="9"/>
      <c r="D919" s="9"/>
      <c r="E919" s="9"/>
      <c r="F919" s="10"/>
      <c r="G919" s="10"/>
      <c r="H919" s="9"/>
      <c r="I919" s="9"/>
      <c r="J919" s="8"/>
      <c r="K919" s="9"/>
    </row>
    <row r="920">
      <c r="A920" s="9"/>
      <c r="B920" s="9"/>
      <c r="C920" s="9"/>
      <c r="D920" s="9"/>
      <c r="E920" s="9"/>
      <c r="F920" s="10"/>
      <c r="G920" s="10"/>
      <c r="H920" s="9"/>
      <c r="I920" s="9"/>
      <c r="J920" s="8"/>
      <c r="K920" s="9"/>
    </row>
    <row r="921">
      <c r="A921" s="9"/>
      <c r="B921" s="9"/>
      <c r="C921" s="9"/>
      <c r="D921" s="9"/>
      <c r="E921" s="9"/>
      <c r="F921" s="10"/>
      <c r="G921" s="10"/>
      <c r="H921" s="9"/>
      <c r="I921" s="9"/>
      <c r="J921" s="8"/>
      <c r="K921" s="9"/>
    </row>
    <row r="922">
      <c r="A922" s="9"/>
      <c r="B922" s="9"/>
      <c r="C922" s="9"/>
      <c r="D922" s="9"/>
      <c r="E922" s="9"/>
      <c r="F922" s="10"/>
      <c r="G922" s="10"/>
      <c r="H922" s="9"/>
      <c r="I922" s="9"/>
      <c r="J922" s="8"/>
      <c r="K922" s="9"/>
    </row>
    <row r="923">
      <c r="A923" s="9"/>
      <c r="B923" s="9"/>
      <c r="C923" s="9"/>
      <c r="D923" s="9"/>
      <c r="E923" s="9"/>
      <c r="F923" s="10"/>
      <c r="G923" s="10"/>
      <c r="H923" s="9"/>
      <c r="I923" s="9"/>
      <c r="J923" s="8"/>
      <c r="K923" s="9"/>
    </row>
    <row r="924">
      <c r="A924" s="9"/>
      <c r="B924" s="9"/>
      <c r="C924" s="9"/>
      <c r="D924" s="9"/>
      <c r="E924" s="9"/>
      <c r="F924" s="10"/>
      <c r="G924" s="10"/>
      <c r="H924" s="9"/>
      <c r="I924" s="9"/>
      <c r="J924" s="8"/>
      <c r="K924" s="9"/>
    </row>
    <row r="925">
      <c r="A925" s="9"/>
      <c r="B925" s="9"/>
      <c r="C925" s="9"/>
      <c r="D925" s="9"/>
      <c r="E925" s="9"/>
      <c r="F925" s="10"/>
      <c r="G925" s="10"/>
      <c r="H925" s="9"/>
      <c r="I925" s="9"/>
      <c r="J925" s="8"/>
      <c r="K925" s="9"/>
    </row>
    <row r="926">
      <c r="A926" s="9"/>
      <c r="B926" s="9"/>
      <c r="C926" s="9"/>
      <c r="D926" s="9"/>
      <c r="E926" s="9"/>
      <c r="F926" s="10"/>
      <c r="G926" s="10"/>
      <c r="H926" s="9"/>
      <c r="I926" s="9"/>
      <c r="J926" s="8"/>
      <c r="K926" s="9"/>
    </row>
    <row r="927">
      <c r="A927" s="9"/>
      <c r="B927" s="9"/>
      <c r="C927" s="9"/>
      <c r="D927" s="9"/>
      <c r="E927" s="9"/>
      <c r="F927" s="10"/>
      <c r="G927" s="10"/>
      <c r="H927" s="9"/>
      <c r="I927" s="9"/>
      <c r="J927" s="8"/>
      <c r="K927" s="9"/>
    </row>
    <row r="928">
      <c r="A928" s="9"/>
      <c r="B928" s="9"/>
      <c r="C928" s="9"/>
      <c r="D928" s="9"/>
      <c r="E928" s="9"/>
      <c r="F928" s="10"/>
      <c r="G928" s="10"/>
      <c r="H928" s="9"/>
      <c r="I928" s="9"/>
      <c r="J928" s="8"/>
      <c r="K928" s="9"/>
    </row>
    <row r="929">
      <c r="A929" s="9"/>
      <c r="B929" s="9"/>
      <c r="C929" s="9"/>
      <c r="D929" s="9"/>
      <c r="E929" s="9"/>
      <c r="F929" s="10"/>
      <c r="G929" s="10"/>
      <c r="H929" s="9"/>
      <c r="I929" s="9"/>
      <c r="J929" s="8"/>
      <c r="K929" s="9"/>
    </row>
    <row r="930">
      <c r="A930" s="9"/>
      <c r="B930" s="9"/>
      <c r="C930" s="9"/>
      <c r="D930" s="9"/>
      <c r="E930" s="9"/>
      <c r="F930" s="10"/>
      <c r="G930" s="10"/>
      <c r="H930" s="9"/>
      <c r="I930" s="9"/>
      <c r="J930" s="8"/>
      <c r="K930" s="9"/>
    </row>
    <row r="931">
      <c r="A931" s="9"/>
      <c r="B931" s="9"/>
      <c r="C931" s="9"/>
      <c r="D931" s="9"/>
      <c r="E931" s="9"/>
      <c r="F931" s="10"/>
      <c r="G931" s="10"/>
      <c r="H931" s="9"/>
      <c r="I931" s="9"/>
      <c r="J931" s="8"/>
      <c r="K931" s="9"/>
    </row>
    <row r="932">
      <c r="A932" s="9"/>
      <c r="B932" s="9"/>
      <c r="C932" s="9"/>
      <c r="D932" s="9"/>
      <c r="E932" s="9"/>
      <c r="F932" s="10"/>
      <c r="G932" s="10"/>
      <c r="H932" s="9"/>
      <c r="I932" s="9"/>
      <c r="J932" s="8"/>
      <c r="K932" s="9"/>
    </row>
    <row r="933">
      <c r="A933" s="9"/>
      <c r="B933" s="9"/>
      <c r="C933" s="9"/>
      <c r="D933" s="9"/>
      <c r="E933" s="9"/>
      <c r="F933" s="10"/>
      <c r="G933" s="10"/>
      <c r="H933" s="9"/>
      <c r="I933" s="9"/>
      <c r="J933" s="8"/>
      <c r="K933" s="9"/>
    </row>
    <row r="934">
      <c r="A934" s="9"/>
      <c r="B934" s="9"/>
      <c r="C934" s="9"/>
      <c r="D934" s="9"/>
      <c r="E934" s="9"/>
      <c r="F934" s="10"/>
      <c r="G934" s="10"/>
      <c r="H934" s="9"/>
      <c r="I934" s="9"/>
      <c r="J934" s="8"/>
      <c r="K934" s="9"/>
    </row>
    <row r="935">
      <c r="A935" s="9"/>
      <c r="B935" s="9"/>
      <c r="C935" s="9"/>
      <c r="D935" s="9"/>
      <c r="E935" s="9"/>
      <c r="F935" s="10"/>
      <c r="G935" s="10"/>
      <c r="H935" s="9"/>
      <c r="I935" s="9"/>
      <c r="J935" s="8"/>
      <c r="K935" s="9"/>
    </row>
    <row r="936">
      <c r="A936" s="9"/>
      <c r="B936" s="9"/>
      <c r="C936" s="9"/>
      <c r="D936" s="9"/>
      <c r="E936" s="9"/>
      <c r="F936" s="10"/>
      <c r="G936" s="10"/>
      <c r="H936" s="9"/>
      <c r="I936" s="9"/>
      <c r="J936" s="8"/>
      <c r="K936" s="9"/>
    </row>
    <row r="937">
      <c r="A937" s="9"/>
      <c r="B937" s="9"/>
      <c r="C937" s="9"/>
      <c r="D937" s="9"/>
      <c r="E937" s="9"/>
      <c r="F937" s="10"/>
      <c r="G937" s="10"/>
      <c r="H937" s="9"/>
      <c r="I937" s="9"/>
      <c r="J937" s="8"/>
      <c r="K937" s="9"/>
    </row>
    <row r="938">
      <c r="A938" s="9"/>
      <c r="B938" s="9"/>
      <c r="C938" s="9"/>
      <c r="D938" s="9"/>
      <c r="E938" s="9"/>
      <c r="F938" s="10"/>
      <c r="G938" s="10"/>
      <c r="H938" s="9"/>
      <c r="I938" s="9"/>
      <c r="J938" s="8"/>
      <c r="K938" s="9"/>
    </row>
    <row r="939">
      <c r="A939" s="9"/>
      <c r="B939" s="9"/>
      <c r="C939" s="9"/>
      <c r="D939" s="9"/>
      <c r="E939" s="9"/>
      <c r="F939" s="10"/>
      <c r="G939" s="10"/>
      <c r="H939" s="9"/>
      <c r="I939" s="9"/>
      <c r="J939" s="8"/>
      <c r="K939" s="9"/>
    </row>
    <row r="940">
      <c r="A940" s="9"/>
      <c r="B940" s="9"/>
      <c r="C940" s="9"/>
      <c r="D940" s="9"/>
      <c r="E940" s="9"/>
      <c r="F940" s="10"/>
      <c r="G940" s="10"/>
      <c r="H940" s="9"/>
      <c r="I940" s="9"/>
      <c r="J940" s="8"/>
      <c r="K940" s="9"/>
    </row>
    <row r="941">
      <c r="A941" s="9"/>
      <c r="B941" s="9"/>
      <c r="C941" s="9"/>
      <c r="D941" s="9"/>
      <c r="E941" s="9"/>
      <c r="F941" s="10"/>
      <c r="G941" s="10"/>
      <c r="H941" s="9"/>
      <c r="I941" s="9"/>
      <c r="J941" s="8"/>
      <c r="K941" s="9"/>
    </row>
    <row r="942">
      <c r="A942" s="9"/>
      <c r="B942" s="9"/>
      <c r="C942" s="9"/>
      <c r="D942" s="9"/>
      <c r="E942" s="9"/>
      <c r="F942" s="10"/>
      <c r="G942" s="10"/>
      <c r="H942" s="9"/>
      <c r="I942" s="9"/>
      <c r="J942" s="8"/>
      <c r="K942" s="9"/>
    </row>
    <row r="943">
      <c r="A943" s="9"/>
      <c r="B943" s="9"/>
      <c r="C943" s="9"/>
      <c r="D943" s="9"/>
      <c r="E943" s="9"/>
      <c r="F943" s="10"/>
      <c r="G943" s="10"/>
      <c r="H943" s="9"/>
      <c r="I943" s="9"/>
      <c r="J943" s="8"/>
      <c r="K943" s="9"/>
    </row>
    <row r="944">
      <c r="A944" s="9"/>
      <c r="B944" s="9"/>
      <c r="C944" s="9"/>
      <c r="D944" s="9"/>
      <c r="E944" s="9"/>
      <c r="F944" s="10"/>
      <c r="G944" s="10"/>
      <c r="H944" s="9"/>
      <c r="I944" s="9"/>
      <c r="J944" s="8"/>
      <c r="K944" s="9"/>
    </row>
    <row r="945">
      <c r="A945" s="9"/>
      <c r="B945" s="9"/>
      <c r="C945" s="9"/>
      <c r="D945" s="9"/>
      <c r="E945" s="9"/>
      <c r="F945" s="10"/>
      <c r="G945" s="10"/>
      <c r="H945" s="9"/>
      <c r="I945" s="9"/>
      <c r="J945" s="8"/>
      <c r="K945" s="9"/>
    </row>
    <row r="946">
      <c r="A946" s="9"/>
      <c r="B946" s="9"/>
      <c r="C946" s="9"/>
      <c r="D946" s="9"/>
      <c r="E946" s="9"/>
      <c r="F946" s="10"/>
      <c r="G946" s="10"/>
      <c r="H946" s="9"/>
      <c r="I946" s="9"/>
      <c r="J946" s="8"/>
      <c r="K946" s="9"/>
    </row>
    <row r="947">
      <c r="A947" s="9"/>
      <c r="B947" s="9"/>
      <c r="C947" s="9"/>
      <c r="D947" s="9"/>
      <c r="E947" s="9"/>
      <c r="F947" s="10"/>
      <c r="G947" s="10"/>
      <c r="H947" s="9"/>
      <c r="I947" s="9"/>
      <c r="J947" s="8"/>
      <c r="K947" s="9"/>
    </row>
    <row r="948">
      <c r="A948" s="9"/>
      <c r="B948" s="9"/>
      <c r="C948" s="9"/>
      <c r="D948" s="9"/>
      <c r="E948" s="9"/>
      <c r="F948" s="10"/>
      <c r="G948" s="10"/>
      <c r="H948" s="9"/>
      <c r="I948" s="9"/>
      <c r="J948" s="8"/>
      <c r="K948" s="9"/>
    </row>
    <row r="949">
      <c r="A949" s="9"/>
      <c r="B949" s="9"/>
      <c r="C949" s="9"/>
      <c r="D949" s="9"/>
      <c r="E949" s="9"/>
      <c r="F949" s="10"/>
      <c r="G949" s="10"/>
      <c r="H949" s="9"/>
      <c r="I949" s="9"/>
      <c r="J949" s="8"/>
      <c r="K949" s="9"/>
    </row>
    <row r="950">
      <c r="A950" s="9"/>
      <c r="B950" s="9"/>
      <c r="C950" s="9"/>
      <c r="D950" s="9"/>
      <c r="E950" s="9"/>
      <c r="F950" s="10"/>
      <c r="G950" s="10"/>
      <c r="H950" s="9"/>
      <c r="I950" s="9"/>
      <c r="J950" s="8"/>
      <c r="K950" s="9"/>
    </row>
    <row r="951">
      <c r="A951" s="9"/>
      <c r="B951" s="9"/>
      <c r="C951" s="9"/>
      <c r="D951" s="9"/>
      <c r="E951" s="9"/>
      <c r="F951" s="10"/>
      <c r="G951" s="10"/>
      <c r="H951" s="9"/>
      <c r="I951" s="9"/>
      <c r="J951" s="8"/>
      <c r="K951" s="9"/>
    </row>
    <row r="952">
      <c r="A952" s="9"/>
      <c r="B952" s="9"/>
      <c r="C952" s="9"/>
      <c r="D952" s="9"/>
      <c r="E952" s="9"/>
      <c r="F952" s="10"/>
      <c r="G952" s="10"/>
      <c r="H952" s="9"/>
      <c r="I952" s="9"/>
      <c r="J952" s="8"/>
      <c r="K952" s="9"/>
    </row>
    <row r="953">
      <c r="A953" s="9"/>
      <c r="B953" s="9"/>
      <c r="C953" s="9"/>
      <c r="D953" s="9"/>
      <c r="E953" s="9"/>
      <c r="F953" s="10"/>
      <c r="G953" s="10"/>
      <c r="H953" s="9"/>
      <c r="I953" s="9"/>
      <c r="J953" s="8"/>
      <c r="K953" s="9"/>
    </row>
    <row r="954">
      <c r="A954" s="9"/>
      <c r="B954" s="9"/>
      <c r="C954" s="9"/>
      <c r="D954" s="9"/>
      <c r="E954" s="9"/>
      <c r="F954" s="10"/>
      <c r="G954" s="10"/>
      <c r="H954" s="9"/>
      <c r="I954" s="9"/>
      <c r="J954" s="8"/>
      <c r="K954" s="9"/>
    </row>
    <row r="955">
      <c r="A955" s="9"/>
      <c r="B955" s="9"/>
      <c r="C955" s="9"/>
      <c r="D955" s="9"/>
      <c r="E955" s="9"/>
      <c r="F955" s="10"/>
      <c r="G955" s="10"/>
      <c r="H955" s="9"/>
      <c r="I955" s="9"/>
      <c r="J955" s="8"/>
      <c r="K955" s="9"/>
    </row>
    <row r="956">
      <c r="A956" s="9"/>
      <c r="B956" s="9"/>
      <c r="C956" s="9"/>
      <c r="D956" s="9"/>
      <c r="E956" s="9"/>
      <c r="F956" s="10"/>
      <c r="G956" s="10"/>
      <c r="H956" s="9"/>
      <c r="I956" s="9"/>
      <c r="J956" s="8"/>
      <c r="K956" s="9"/>
    </row>
    <row r="957">
      <c r="A957" s="9"/>
      <c r="B957" s="9"/>
      <c r="C957" s="9"/>
      <c r="D957" s="9"/>
      <c r="E957" s="9"/>
      <c r="F957" s="10"/>
      <c r="G957" s="10"/>
      <c r="H957" s="9"/>
      <c r="I957" s="9"/>
      <c r="J957" s="8"/>
      <c r="K957" s="9"/>
    </row>
    <row r="958">
      <c r="A958" s="9"/>
      <c r="B958" s="9"/>
      <c r="C958" s="9"/>
      <c r="D958" s="9"/>
      <c r="E958" s="9"/>
      <c r="F958" s="10"/>
      <c r="G958" s="10"/>
      <c r="H958" s="9"/>
      <c r="I958" s="9"/>
      <c r="J958" s="8"/>
      <c r="K958" s="9"/>
    </row>
    <row r="959">
      <c r="A959" s="9"/>
      <c r="B959" s="9"/>
      <c r="C959" s="9"/>
      <c r="D959" s="9"/>
      <c r="E959" s="9"/>
      <c r="F959" s="10"/>
      <c r="G959" s="10"/>
      <c r="H959" s="9"/>
      <c r="I959" s="9"/>
      <c r="J959" s="8"/>
      <c r="K959" s="9"/>
    </row>
    <row r="960">
      <c r="A960" s="9"/>
      <c r="B960" s="9"/>
      <c r="C960" s="9"/>
      <c r="D960" s="9"/>
      <c r="E960" s="9"/>
      <c r="F960" s="10"/>
      <c r="G960" s="10"/>
      <c r="H960" s="9"/>
      <c r="I960" s="9"/>
      <c r="J960" s="8"/>
      <c r="K960" s="9"/>
    </row>
    <row r="961">
      <c r="A961" s="9"/>
      <c r="B961" s="9"/>
      <c r="C961" s="9"/>
      <c r="D961" s="9"/>
      <c r="E961" s="9"/>
      <c r="F961" s="10"/>
      <c r="G961" s="10"/>
      <c r="H961" s="9"/>
      <c r="I961" s="9"/>
      <c r="J961" s="8"/>
      <c r="K961" s="9"/>
    </row>
    <row r="962">
      <c r="A962" s="9"/>
      <c r="B962" s="9"/>
      <c r="C962" s="9"/>
      <c r="D962" s="9"/>
      <c r="E962" s="9"/>
      <c r="F962" s="10"/>
      <c r="G962" s="10"/>
      <c r="H962" s="9"/>
      <c r="I962" s="9"/>
      <c r="J962" s="8"/>
      <c r="K962" s="9"/>
    </row>
    <row r="963">
      <c r="A963" s="9"/>
      <c r="B963" s="9"/>
      <c r="C963" s="9"/>
      <c r="D963" s="9"/>
      <c r="E963" s="9"/>
      <c r="F963" s="10"/>
      <c r="G963" s="10"/>
      <c r="H963" s="9"/>
      <c r="I963" s="9"/>
      <c r="J963" s="8"/>
      <c r="K963" s="9"/>
    </row>
    <row r="964">
      <c r="A964" s="9"/>
      <c r="B964" s="9"/>
      <c r="C964" s="9"/>
      <c r="D964" s="9"/>
      <c r="E964" s="9"/>
      <c r="F964" s="10"/>
      <c r="G964" s="10"/>
      <c r="H964" s="9"/>
      <c r="I964" s="9"/>
      <c r="J964" s="8"/>
      <c r="K964" s="9"/>
    </row>
    <row r="965">
      <c r="A965" s="9"/>
      <c r="B965" s="9"/>
      <c r="C965" s="9"/>
      <c r="D965" s="9"/>
      <c r="E965" s="9"/>
      <c r="F965" s="10"/>
      <c r="G965" s="10"/>
      <c r="H965" s="9"/>
      <c r="I965" s="9"/>
      <c r="J965" s="8"/>
      <c r="K965" s="9"/>
    </row>
    <row r="966">
      <c r="A966" s="9"/>
      <c r="B966" s="9"/>
      <c r="C966" s="9"/>
      <c r="D966" s="9"/>
      <c r="E966" s="9"/>
      <c r="F966" s="10"/>
      <c r="G966" s="10"/>
      <c r="H966" s="9"/>
      <c r="I966" s="9"/>
      <c r="J966" s="8"/>
      <c r="K966" s="9"/>
    </row>
    <row r="967">
      <c r="A967" s="9"/>
      <c r="B967" s="9"/>
      <c r="C967" s="9"/>
      <c r="D967" s="9"/>
      <c r="E967" s="9"/>
      <c r="F967" s="10"/>
      <c r="G967" s="10"/>
      <c r="H967" s="9"/>
      <c r="I967" s="9"/>
      <c r="J967" s="8"/>
      <c r="K967" s="9"/>
    </row>
    <row r="968">
      <c r="A968" s="9"/>
      <c r="B968" s="9"/>
      <c r="C968" s="9"/>
      <c r="D968" s="9"/>
      <c r="E968" s="9"/>
      <c r="F968" s="10"/>
      <c r="G968" s="10"/>
      <c r="H968" s="9"/>
      <c r="I968" s="9"/>
      <c r="J968" s="8"/>
      <c r="K968" s="9"/>
    </row>
    <row r="969">
      <c r="A969" s="9"/>
      <c r="B969" s="9"/>
      <c r="C969" s="9"/>
      <c r="D969" s="9"/>
      <c r="E969" s="9"/>
      <c r="F969" s="10"/>
      <c r="G969" s="10"/>
      <c r="H969" s="9"/>
      <c r="I969" s="9"/>
      <c r="J969" s="8"/>
      <c r="K969" s="9"/>
    </row>
    <row r="970">
      <c r="A970" s="9"/>
      <c r="B970" s="9"/>
      <c r="C970" s="9"/>
      <c r="D970" s="9"/>
      <c r="E970" s="9"/>
      <c r="F970" s="10"/>
      <c r="G970" s="10"/>
      <c r="H970" s="9"/>
      <c r="I970" s="9"/>
      <c r="J970" s="8"/>
      <c r="K970" s="9"/>
    </row>
    <row r="971">
      <c r="A971" s="9"/>
      <c r="B971" s="9"/>
      <c r="C971" s="9"/>
      <c r="D971" s="9"/>
      <c r="E971" s="9"/>
      <c r="F971" s="10"/>
      <c r="G971" s="10"/>
      <c r="H971" s="9"/>
      <c r="I971" s="9"/>
      <c r="J971" s="8"/>
      <c r="K971" s="9"/>
    </row>
    <row r="972">
      <c r="A972" s="9"/>
      <c r="B972" s="9"/>
      <c r="C972" s="9"/>
      <c r="D972" s="9"/>
      <c r="E972" s="9"/>
      <c r="F972" s="10"/>
      <c r="G972" s="10"/>
      <c r="H972" s="9"/>
      <c r="I972" s="9"/>
      <c r="J972" s="8"/>
      <c r="K972" s="9"/>
    </row>
    <row r="973">
      <c r="A973" s="9"/>
      <c r="B973" s="9"/>
      <c r="C973" s="9"/>
      <c r="D973" s="9"/>
      <c r="E973" s="9"/>
      <c r="F973" s="10"/>
      <c r="G973" s="10"/>
      <c r="H973" s="9"/>
      <c r="I973" s="9"/>
      <c r="J973" s="8"/>
      <c r="K973" s="9"/>
    </row>
    <row r="974">
      <c r="A974" s="9"/>
      <c r="B974" s="9"/>
      <c r="C974" s="9"/>
      <c r="D974" s="9"/>
      <c r="E974" s="9"/>
      <c r="F974" s="10"/>
      <c r="G974" s="10"/>
      <c r="H974" s="9"/>
      <c r="I974" s="9"/>
      <c r="J974" s="8"/>
      <c r="K974" s="9"/>
    </row>
    <row r="975">
      <c r="A975" s="9"/>
      <c r="B975" s="9"/>
      <c r="C975" s="9"/>
      <c r="D975" s="9"/>
      <c r="E975" s="9"/>
      <c r="F975" s="10"/>
      <c r="G975" s="10"/>
      <c r="H975" s="9"/>
      <c r="I975" s="9"/>
      <c r="J975" s="8"/>
      <c r="K975" s="9"/>
    </row>
    <row r="976">
      <c r="A976" s="9"/>
      <c r="B976" s="9"/>
      <c r="C976" s="9"/>
      <c r="D976" s="9"/>
      <c r="E976" s="9"/>
      <c r="F976" s="10"/>
      <c r="G976" s="10"/>
      <c r="H976" s="9"/>
      <c r="I976" s="9"/>
      <c r="J976" s="8"/>
      <c r="K976" s="9"/>
    </row>
    <row r="977">
      <c r="A977" s="9"/>
      <c r="B977" s="9"/>
      <c r="C977" s="9"/>
      <c r="D977" s="9"/>
      <c r="E977" s="9"/>
      <c r="F977" s="10"/>
      <c r="G977" s="10"/>
      <c r="H977" s="9"/>
      <c r="I977" s="9"/>
      <c r="J977" s="8"/>
      <c r="K977" s="9"/>
    </row>
    <row r="978">
      <c r="A978" s="9"/>
      <c r="B978" s="9"/>
      <c r="C978" s="9"/>
      <c r="D978" s="9"/>
      <c r="E978" s="9"/>
      <c r="F978" s="10"/>
      <c r="G978" s="10"/>
      <c r="H978" s="9"/>
      <c r="I978" s="9"/>
      <c r="J978" s="8"/>
      <c r="K978" s="9"/>
    </row>
    <row r="979">
      <c r="A979" s="9"/>
      <c r="B979" s="9"/>
      <c r="C979" s="9"/>
      <c r="D979" s="9"/>
      <c r="E979" s="9"/>
      <c r="F979" s="10"/>
      <c r="G979" s="10"/>
      <c r="H979" s="9"/>
      <c r="I979" s="9"/>
      <c r="J979" s="8"/>
      <c r="K979" s="9"/>
    </row>
    <row r="980">
      <c r="A980" s="9"/>
      <c r="B980" s="9"/>
      <c r="C980" s="9"/>
      <c r="D980" s="9"/>
      <c r="E980" s="9"/>
      <c r="F980" s="10"/>
      <c r="G980" s="10"/>
      <c r="H980" s="9"/>
      <c r="I980" s="9"/>
      <c r="J980" s="8"/>
      <c r="K980" s="9"/>
    </row>
    <row r="981">
      <c r="A981" s="9"/>
      <c r="B981" s="9"/>
      <c r="C981" s="9"/>
      <c r="D981" s="9"/>
      <c r="E981" s="9"/>
      <c r="F981" s="10"/>
      <c r="G981" s="10"/>
      <c r="H981" s="9"/>
      <c r="I981" s="9"/>
      <c r="J981" s="8"/>
      <c r="K981" s="9"/>
    </row>
    <row r="982">
      <c r="A982" s="9"/>
      <c r="B982" s="9"/>
      <c r="C982" s="9"/>
      <c r="D982" s="9"/>
      <c r="E982" s="9"/>
      <c r="F982" s="10"/>
      <c r="G982" s="10"/>
      <c r="H982" s="9"/>
      <c r="I982" s="9"/>
      <c r="J982" s="8"/>
      <c r="K982" s="9"/>
    </row>
    <row r="983">
      <c r="A983" s="9"/>
      <c r="B983" s="9"/>
      <c r="C983" s="9"/>
      <c r="D983" s="9"/>
      <c r="E983" s="9"/>
      <c r="F983" s="10"/>
      <c r="G983" s="10"/>
      <c r="H983" s="9"/>
      <c r="I983" s="9"/>
      <c r="J983" s="8"/>
      <c r="K983" s="9"/>
    </row>
    <row r="984">
      <c r="A984" s="9"/>
      <c r="B984" s="9"/>
      <c r="C984" s="9"/>
      <c r="D984" s="9"/>
      <c r="E984" s="9"/>
      <c r="F984" s="10"/>
      <c r="G984" s="10"/>
      <c r="H984" s="9"/>
      <c r="I984" s="9"/>
      <c r="J984" s="8"/>
      <c r="K984" s="9"/>
    </row>
    <row r="985">
      <c r="A985" s="9"/>
      <c r="B985" s="9"/>
      <c r="C985" s="9"/>
      <c r="D985" s="9"/>
      <c r="E985" s="9"/>
      <c r="F985" s="10"/>
      <c r="G985" s="10"/>
      <c r="H985" s="9"/>
      <c r="I985" s="9"/>
      <c r="J985" s="8"/>
      <c r="K985" s="9"/>
    </row>
    <row r="986">
      <c r="A986" s="9"/>
      <c r="B986" s="9"/>
      <c r="C986" s="9"/>
      <c r="D986" s="9"/>
      <c r="E986" s="9"/>
      <c r="F986" s="10"/>
      <c r="G986" s="10"/>
      <c r="H986" s="9"/>
      <c r="I986" s="9"/>
      <c r="J986" s="8"/>
      <c r="K986" s="9"/>
    </row>
    <row r="987">
      <c r="A987" s="9"/>
      <c r="B987" s="9"/>
      <c r="C987" s="9"/>
      <c r="D987" s="9"/>
      <c r="E987" s="9"/>
      <c r="F987" s="10"/>
      <c r="G987" s="10"/>
      <c r="H987" s="9"/>
      <c r="I987" s="9"/>
      <c r="J987" s="8"/>
      <c r="K987" s="9"/>
    </row>
    <row r="988">
      <c r="A988" s="9"/>
      <c r="B988" s="9"/>
      <c r="C988" s="9"/>
      <c r="D988" s="9"/>
      <c r="E988" s="9"/>
      <c r="F988" s="10"/>
      <c r="G988" s="10"/>
      <c r="H988" s="9"/>
      <c r="I988" s="9"/>
      <c r="J988" s="8"/>
      <c r="K988" s="9"/>
    </row>
    <row r="989">
      <c r="A989" s="9"/>
      <c r="B989" s="9"/>
      <c r="C989" s="9"/>
      <c r="D989" s="9"/>
      <c r="E989" s="9"/>
      <c r="F989" s="10"/>
      <c r="G989" s="10"/>
      <c r="H989" s="9"/>
      <c r="I989" s="9"/>
      <c r="J989" s="8"/>
      <c r="K989" s="9"/>
    </row>
    <row r="990">
      <c r="A990" s="9"/>
      <c r="B990" s="9"/>
      <c r="C990" s="9"/>
      <c r="D990" s="9"/>
      <c r="E990" s="9"/>
      <c r="F990" s="10"/>
      <c r="G990" s="10"/>
      <c r="H990" s="9"/>
      <c r="I990" s="9"/>
      <c r="J990" s="8"/>
      <c r="K990" s="9"/>
    </row>
    <row r="991">
      <c r="A991" s="9"/>
      <c r="B991" s="9"/>
      <c r="C991" s="9"/>
      <c r="D991" s="9"/>
      <c r="E991" s="9"/>
      <c r="F991" s="10"/>
      <c r="G991" s="10"/>
      <c r="H991" s="9"/>
      <c r="I991" s="9"/>
      <c r="J991" s="8"/>
      <c r="K991" s="9"/>
    </row>
    <row r="992">
      <c r="A992" s="9"/>
      <c r="B992" s="9"/>
      <c r="C992" s="9"/>
      <c r="D992" s="9"/>
      <c r="E992" s="9"/>
      <c r="F992" s="10"/>
      <c r="G992" s="10"/>
      <c r="H992" s="9"/>
      <c r="I992" s="9"/>
      <c r="J992" s="8"/>
      <c r="K992" s="9"/>
    </row>
    <row r="993">
      <c r="A993" s="9"/>
      <c r="B993" s="9"/>
      <c r="C993" s="9"/>
      <c r="D993" s="9"/>
      <c r="E993" s="9"/>
      <c r="F993" s="10"/>
      <c r="G993" s="10"/>
      <c r="H993" s="9"/>
      <c r="I993" s="9"/>
      <c r="J993" s="8"/>
      <c r="K993" s="9"/>
    </row>
    <row r="994">
      <c r="A994" s="9"/>
      <c r="B994" s="9"/>
      <c r="C994" s="9"/>
      <c r="D994" s="9"/>
      <c r="E994" s="9"/>
      <c r="F994" s="10"/>
      <c r="G994" s="10"/>
      <c r="H994" s="9"/>
      <c r="I994" s="9"/>
      <c r="J994" s="8"/>
      <c r="K994" s="9"/>
    </row>
    <row r="995">
      <c r="A995" s="9"/>
      <c r="B995" s="9"/>
      <c r="C995" s="9"/>
      <c r="D995" s="9"/>
      <c r="E995" s="9"/>
      <c r="F995" s="10"/>
      <c r="G995" s="10"/>
      <c r="H995" s="9"/>
      <c r="I995" s="9"/>
      <c r="J995" s="8"/>
      <c r="K995" s="9"/>
    </row>
    <row r="996">
      <c r="A996" s="9"/>
      <c r="B996" s="9"/>
      <c r="C996" s="9"/>
      <c r="D996" s="9"/>
      <c r="E996" s="9"/>
      <c r="F996" s="10"/>
      <c r="G996" s="10"/>
      <c r="H996" s="9"/>
      <c r="I996" s="9"/>
      <c r="J996" s="8"/>
      <c r="K996" s="9"/>
    </row>
    <row r="997">
      <c r="A997" s="9"/>
      <c r="B997" s="9"/>
      <c r="C997" s="9"/>
      <c r="D997" s="9"/>
      <c r="E997" s="9"/>
      <c r="F997" s="10"/>
      <c r="G997" s="10"/>
      <c r="H997" s="9"/>
      <c r="I997" s="9"/>
      <c r="J997" s="8"/>
      <c r="K997" s="9"/>
    </row>
    <row r="998">
      <c r="A998" s="9"/>
      <c r="B998" s="9"/>
      <c r="C998" s="9"/>
      <c r="D998" s="9"/>
      <c r="E998" s="9"/>
      <c r="F998" s="10"/>
      <c r="G998" s="10"/>
      <c r="H998" s="9"/>
      <c r="I998" s="9"/>
      <c r="J998" s="8"/>
      <c r="K998" s="9"/>
    </row>
    <row r="999">
      <c r="A999" s="9"/>
      <c r="B999" s="9"/>
      <c r="C999" s="9"/>
      <c r="D999" s="9"/>
      <c r="E999" s="9"/>
      <c r="F999" s="10"/>
      <c r="G999" s="10"/>
      <c r="H999" s="9"/>
      <c r="I999" s="9"/>
      <c r="J999" s="8"/>
      <c r="K99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16.0"/>
  </cols>
  <sheetData>
    <row r="1"/>
    <row r="2"/>
    <row r="3"/>
    <row r="4"/>
    <row r="5"/>
    <row r="6"/>
    <row r="7"/>
    <row r="8"/>
    <row r="9"/>
    <row r="10"/>
    <row r="11"/>
    <row r="12">
      <c r="A12" s="10"/>
      <c r="B12" s="10"/>
    </row>
    <row r="13">
      <c r="A13" s="10"/>
      <c r="B13" s="10"/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7.75"/>
  </cols>
  <sheetData>
    <row r="1">
      <c r="A1" s="12" t="s">
        <v>265</v>
      </c>
      <c r="B1" s="9"/>
    </row>
    <row r="2">
      <c r="A2" s="4" t="s">
        <v>0</v>
      </c>
      <c r="B2" s="3" t="s">
        <v>266</v>
      </c>
    </row>
    <row r="3">
      <c r="A3" s="4" t="s">
        <v>3</v>
      </c>
      <c r="B3" s="3" t="s">
        <v>267</v>
      </c>
    </row>
    <row r="4">
      <c r="A4" s="4" t="s">
        <v>4</v>
      </c>
      <c r="B4" s="3" t="s">
        <v>268</v>
      </c>
    </row>
    <row r="5">
      <c r="A5" s="3" t="s">
        <v>5</v>
      </c>
      <c r="B5" s="3" t="s">
        <v>269</v>
      </c>
    </row>
    <row r="6">
      <c r="A6" s="3" t="s">
        <v>6</v>
      </c>
      <c r="B6" s="3" t="s">
        <v>270</v>
      </c>
    </row>
    <row r="7">
      <c r="A7" s="4" t="s">
        <v>7</v>
      </c>
      <c r="B7" s="3" t="s">
        <v>271</v>
      </c>
    </row>
    <row r="8">
      <c r="A8" s="4" t="s">
        <v>8</v>
      </c>
      <c r="B8" s="3" t="s">
        <v>272</v>
      </c>
    </row>
    <row r="9">
      <c r="A9" s="4" t="s">
        <v>10</v>
      </c>
      <c r="B9" s="3" t="s">
        <v>273</v>
      </c>
    </row>
    <row r="10">
      <c r="A10" s="3" t="s">
        <v>274</v>
      </c>
      <c r="B10" s="3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3.38"/>
    <col customWidth="1" min="3" max="3" width="14.25"/>
    <col customWidth="1" min="4" max="4" width="11.63"/>
    <col customWidth="1" min="6" max="6" width="15.63"/>
    <col customWidth="1" min="7" max="7" width="16.75"/>
    <col customWidth="1" min="8" max="8" width="15.0"/>
  </cols>
  <sheetData>
    <row r="1" ht="33.0" customHeight="1">
      <c r="A1" s="13" t="s">
        <v>275</v>
      </c>
      <c r="B1" s="13" t="s">
        <v>276</v>
      </c>
      <c r="C1" s="13" t="s">
        <v>277</v>
      </c>
      <c r="D1" s="3" t="s">
        <v>278</v>
      </c>
      <c r="E1" s="3" t="s">
        <v>279</v>
      </c>
      <c r="F1" s="4" t="s">
        <v>280</v>
      </c>
      <c r="G1" s="4" t="s">
        <v>281</v>
      </c>
      <c r="H1" s="4" t="s">
        <v>282</v>
      </c>
    </row>
    <row r="2">
      <c r="A2" s="14" t="s">
        <v>283</v>
      </c>
      <c r="B2" s="15">
        <v>2.0</v>
      </c>
      <c r="C2" s="15">
        <v>3.0</v>
      </c>
      <c r="D2" s="16">
        <f t="shared" ref="D2:E2" si="1"> B2 / SUM(B:B)</f>
        <v>0.001385041551</v>
      </c>
      <c r="E2" s="16">
        <f t="shared" si="1"/>
        <v>0.002525252525</v>
      </c>
      <c r="F2" s="8">
        <f> B2 / SUM(population_edit!C2:C1276) * 100000</f>
        <v>0.01522380284</v>
      </c>
      <c r="G2" s="8">
        <f> C2 / SUM(population_edit!D25:D1299) * 100000</f>
        <v>0.02449815729</v>
      </c>
      <c r="H2" s="8">
        <f t="shared" ref="H2:H27" si="3">IFERROR(F2/G2, "Нет данных")</f>
        <v>0.621426447</v>
      </c>
      <c r="I2" s="17"/>
      <c r="J2" s="17"/>
      <c r="K2" s="17"/>
      <c r="L2" s="18"/>
      <c r="M2" s="18"/>
    </row>
    <row r="3">
      <c r="A3" s="19" t="s">
        <v>284</v>
      </c>
      <c r="B3" s="15">
        <v>1.0</v>
      </c>
      <c r="C3" s="15">
        <v>2.0</v>
      </c>
      <c r="D3" s="16">
        <f t="shared" ref="D3:E3" si="2"> B3 / SUM(B:B)</f>
        <v>0.0006925207756</v>
      </c>
      <c r="E3" s="16">
        <f t="shared" si="2"/>
        <v>0.001683501684</v>
      </c>
      <c r="F3" s="8">
        <f> B3 / SUM(population_edit!C3:C1277) * 100000</f>
        <v>0.007615073276</v>
      </c>
      <c r="G3" s="8">
        <f> C3 / SUM(population_edit!D26:D1300) * 100000</f>
        <v>0.01634060354</v>
      </c>
      <c r="H3" s="8">
        <f t="shared" si="3"/>
        <v>0.466021543</v>
      </c>
      <c r="L3" s="18"/>
      <c r="M3" s="18"/>
    </row>
    <row r="4">
      <c r="A4" s="19" t="s">
        <v>285</v>
      </c>
      <c r="B4" s="15">
        <v>0.0</v>
      </c>
      <c r="C4" s="15">
        <v>0.0</v>
      </c>
      <c r="D4" s="16">
        <f t="shared" ref="D4:E4" si="4"> B4 / SUM(B:B)</f>
        <v>0</v>
      </c>
      <c r="E4" s="16">
        <f t="shared" si="4"/>
        <v>0</v>
      </c>
      <c r="F4" s="8">
        <f> B4 / SUM(population_edit!C4:C1278) * 100000</f>
        <v>0</v>
      </c>
      <c r="G4" s="8">
        <f> C4 / SUM(population_edit!D27:D1301) * 100000</f>
        <v>0</v>
      </c>
      <c r="H4" s="20" t="str">
        <f t="shared" si="3"/>
        <v>Нет данных</v>
      </c>
      <c r="L4" s="18"/>
      <c r="M4" s="18"/>
    </row>
    <row r="5">
      <c r="A5" s="19" t="s">
        <v>286</v>
      </c>
      <c r="B5" s="15">
        <v>3.0</v>
      </c>
      <c r="C5" s="15">
        <v>3.0</v>
      </c>
      <c r="D5" s="16">
        <f t="shared" ref="D5:E5" si="5"> B5 / SUM(B:B)</f>
        <v>0.002077562327</v>
      </c>
      <c r="E5" s="16">
        <f t="shared" si="5"/>
        <v>0.002525252525</v>
      </c>
      <c r="F5" s="8">
        <f> B5 / SUM(population_edit!C5:C1279) * 100000</f>
        <v>0.02286696563</v>
      </c>
      <c r="G5" s="8">
        <f> C5 / SUM(population_edit!D28:D1302) * 100000</f>
        <v>0.02453805677</v>
      </c>
      <c r="H5" s="8">
        <f t="shared" si="3"/>
        <v>0.9318979841</v>
      </c>
      <c r="L5" s="18"/>
      <c r="M5" s="18"/>
    </row>
    <row r="6">
      <c r="A6" s="19" t="s">
        <v>287</v>
      </c>
      <c r="B6" s="15">
        <v>25.0</v>
      </c>
      <c r="C6" s="15">
        <v>19.0</v>
      </c>
      <c r="D6" s="16">
        <f t="shared" ref="D6:E6" si="6"> B6 / SUM(B:B)</f>
        <v>0.01731301939</v>
      </c>
      <c r="E6" s="16">
        <f t="shared" si="6"/>
        <v>0.01599326599</v>
      </c>
      <c r="F6" s="8">
        <f> B6 / SUM(population_edit!C6:C1280) * 100000</f>
        <v>0.1906583073</v>
      </c>
      <c r="G6" s="8">
        <f> C6 / SUM(population_edit!D29:D1303) * 100000</f>
        <v>0.1554909586</v>
      </c>
      <c r="H6" s="8">
        <f t="shared" si="3"/>
        <v>1.226169734</v>
      </c>
      <c r="L6" s="18"/>
      <c r="M6" s="18"/>
    </row>
    <row r="7">
      <c r="A7" s="19" t="s">
        <v>288</v>
      </c>
      <c r="B7" s="15">
        <v>3.0</v>
      </c>
      <c r="C7" s="15">
        <v>2.0</v>
      </c>
      <c r="D7" s="16">
        <f t="shared" ref="D7:E7" si="7"> B7 / SUM(B:B)</f>
        <v>0.002077562327</v>
      </c>
      <c r="E7" s="16">
        <f t="shared" si="7"/>
        <v>0.001683501684</v>
      </c>
      <c r="F7" s="8">
        <f> B7 / SUM(population_edit!C7:C1281) * 100000</f>
        <v>0.0228918303</v>
      </c>
      <c r="G7" s="8">
        <f> C7 / SUM(population_edit!D30:D1304) * 100000</f>
        <v>0.01637627572</v>
      </c>
      <c r="H7" s="8">
        <f t="shared" si="3"/>
        <v>1.397865467</v>
      </c>
      <c r="L7" s="18"/>
      <c r="M7" s="18"/>
    </row>
    <row r="8">
      <c r="A8" s="19" t="s">
        <v>289</v>
      </c>
      <c r="B8" s="15">
        <v>77.0</v>
      </c>
      <c r="C8" s="15">
        <v>75.0</v>
      </c>
      <c r="D8" s="16">
        <f t="shared" ref="D8:E8" si="8"> B8 / SUM(B:B)</f>
        <v>0.05332409972</v>
      </c>
      <c r="E8" s="16">
        <f t="shared" si="8"/>
        <v>0.06313131313</v>
      </c>
      <c r="F8" s="8">
        <f> B8 / SUM(population_edit!C8:C1282) * 100000</f>
        <v>0.587909945</v>
      </c>
      <c r="G8" s="8">
        <f> C8 / SUM(population_edit!D31:D1305) * 100000</f>
        <v>0.6144423444</v>
      </c>
      <c r="H8" s="8">
        <f t="shared" si="3"/>
        <v>0.9568187322</v>
      </c>
      <c r="L8" s="18"/>
      <c r="M8" s="18"/>
    </row>
    <row r="9">
      <c r="A9" s="19" t="s">
        <v>290</v>
      </c>
      <c r="B9" s="15">
        <v>0.0</v>
      </c>
      <c r="C9" s="15">
        <v>4.0</v>
      </c>
      <c r="D9" s="16">
        <f t="shared" ref="D9:E9" si="9"> B9 / SUM(B:B)</f>
        <v>0</v>
      </c>
      <c r="E9" s="16">
        <f t="shared" si="9"/>
        <v>0.003367003367</v>
      </c>
      <c r="F9" s="8">
        <f> B9 / SUM(population_edit!C9:C1283) * 100000</f>
        <v>0</v>
      </c>
      <c r="G9" s="8">
        <f> C9 / SUM(population_edit!D32:D1306) * 100000</f>
        <v>0.03278864024</v>
      </c>
      <c r="H9" s="8">
        <f t="shared" si="3"/>
        <v>0</v>
      </c>
      <c r="L9" s="18"/>
      <c r="M9" s="18"/>
    </row>
    <row r="10">
      <c r="A10" s="19" t="s">
        <v>291</v>
      </c>
      <c r="B10" s="15">
        <v>86.0</v>
      </c>
      <c r="C10" s="15">
        <v>80.0</v>
      </c>
      <c r="D10" s="16">
        <f t="shared" ref="D10:E10" si="10"> B10 / SUM(B:B)</f>
        <v>0.0595567867</v>
      </c>
      <c r="E10" s="16">
        <f t="shared" si="10"/>
        <v>0.06734006734</v>
      </c>
      <c r="F10" s="8">
        <f> B10 / SUM(population_edit!C10:C1284) * 100000</f>
        <v>0.6575326713</v>
      </c>
      <c r="G10" s="8">
        <f> C10 / SUM(population_edit!D33:D1307) * 100000</f>
        <v>0.6559994595</v>
      </c>
      <c r="H10" s="8">
        <f t="shared" si="3"/>
        <v>1.002337215</v>
      </c>
      <c r="L10" s="18"/>
      <c r="M10" s="18"/>
    </row>
    <row r="11">
      <c r="A11" s="19" t="s">
        <v>292</v>
      </c>
      <c r="B11" s="15">
        <v>0.0</v>
      </c>
      <c r="C11" s="15">
        <v>40.0</v>
      </c>
      <c r="D11" s="16">
        <f t="shared" ref="D11:E11" si="11"> B11 / SUM(B:B)</f>
        <v>0</v>
      </c>
      <c r="E11" s="16">
        <f t="shared" si="11"/>
        <v>0.03367003367</v>
      </c>
      <c r="F11" s="8">
        <f> B11 / SUM(population_edit!C11:C1285) * 100000</f>
        <v>0</v>
      </c>
      <c r="G11" s="8">
        <f> C11 / SUM(population_edit!D34:D1308) * 100000</f>
        <v>0.3281267547</v>
      </c>
      <c r="H11" s="8">
        <f t="shared" si="3"/>
        <v>0</v>
      </c>
      <c r="L11" s="18"/>
      <c r="M11" s="18"/>
    </row>
    <row r="12">
      <c r="A12" s="19" t="s">
        <v>293</v>
      </c>
      <c r="B12" s="15">
        <v>15.0</v>
      </c>
      <c r="C12" s="15">
        <v>0.0</v>
      </c>
      <c r="D12" s="16">
        <f t="shared" ref="D12:E12" si="12"> B12 / SUM(B:B)</f>
        <v>0.01038781163</v>
      </c>
      <c r="E12" s="16">
        <f t="shared" si="12"/>
        <v>0</v>
      </c>
      <c r="F12" s="8">
        <f> B12 / SUM(population_edit!C12:C1286) * 100000</f>
        <v>0.1148492412</v>
      </c>
      <c r="G12" s="8">
        <f> C12 / SUM(population_edit!D35:D1309) * 100000</f>
        <v>0</v>
      </c>
      <c r="H12" s="20" t="str">
        <f t="shared" si="3"/>
        <v>Нет данных</v>
      </c>
      <c r="L12" s="18"/>
      <c r="M12" s="18"/>
    </row>
    <row r="13">
      <c r="A13" s="19" t="s">
        <v>294</v>
      </c>
      <c r="B13" s="15">
        <v>92.0</v>
      </c>
      <c r="C13" s="15">
        <v>92.0</v>
      </c>
      <c r="D13" s="16">
        <f t="shared" ref="D13:E13" si="13"> B13 / SUM(B:B)</f>
        <v>0.06371191136</v>
      </c>
      <c r="E13" s="16">
        <f t="shared" si="13"/>
        <v>0.07744107744</v>
      </c>
      <c r="F13" s="8">
        <f> B13 / SUM(population_edit!C13:C1287) * 100000</f>
        <v>0.704915915</v>
      </c>
      <c r="G13" s="8">
        <f> C13 / SUM(population_edit!D36:D1310) * 100000</f>
        <v>0.7553178275</v>
      </c>
      <c r="H13" s="8">
        <f t="shared" si="3"/>
        <v>0.9332705907</v>
      </c>
      <c r="L13" s="18"/>
      <c r="M13" s="18"/>
    </row>
    <row r="14">
      <c r="A14" s="19" t="s">
        <v>295</v>
      </c>
      <c r="B14" s="15">
        <v>3.0</v>
      </c>
      <c r="C14" s="15">
        <v>3.0</v>
      </c>
      <c r="D14" s="16">
        <f t="shared" ref="D14:E14" si="14"> B14 / SUM(B:B)</f>
        <v>0.002077562327</v>
      </c>
      <c r="E14" s="16">
        <f t="shared" si="14"/>
        <v>0.002525252525</v>
      </c>
      <c r="F14" s="8">
        <f> B14 / SUM(population_edit!C14:C1288) * 100000</f>
        <v>0.02300235651</v>
      </c>
      <c r="G14" s="8">
        <f> C14 / SUM(population_edit!D37:D1311) * 100000</f>
        <v>0.02464246858</v>
      </c>
      <c r="H14" s="8">
        <f t="shared" si="3"/>
        <v>0.9334436782</v>
      </c>
      <c r="L14" s="18"/>
      <c r="M14" s="18"/>
    </row>
    <row r="15">
      <c r="A15" s="19" t="s">
        <v>296</v>
      </c>
      <c r="B15" s="15">
        <v>36.0</v>
      </c>
      <c r="C15" s="15">
        <v>36.0</v>
      </c>
      <c r="D15" s="16">
        <f t="shared" ref="D15:E15" si="15"> B15 / SUM(B:B)</f>
        <v>0.02493074792</v>
      </c>
      <c r="E15" s="16">
        <f t="shared" si="15"/>
        <v>0.0303030303</v>
      </c>
      <c r="F15" s="8">
        <f> B15 / SUM(population_edit!C15:C1289) * 100000</f>
        <v>0.2762091824</v>
      </c>
      <c r="G15" s="8">
        <f> C15 / SUM(population_edit!D38:D1312) * 100000</f>
        <v>0.2958643344</v>
      </c>
      <c r="H15" s="8">
        <f t="shared" si="3"/>
        <v>0.9335670114</v>
      </c>
      <c r="L15" s="18"/>
      <c r="M15" s="18"/>
    </row>
    <row r="16">
      <c r="A16" s="19" t="s">
        <v>297</v>
      </c>
      <c r="B16" s="15">
        <v>233.0</v>
      </c>
      <c r="C16" s="15">
        <v>210.0</v>
      </c>
      <c r="D16" s="16">
        <f t="shared" ref="D16:E16" si="16"> B16 / SUM(B:B)</f>
        <v>0.1613573407</v>
      </c>
      <c r="E16" s="16">
        <f t="shared" si="16"/>
        <v>0.1767676768</v>
      </c>
      <c r="F16" s="8">
        <f> B16 / SUM(population_edit!C16:C1290) * 100000</f>
        <v>1.788892421</v>
      </c>
      <c r="G16" s="8">
        <f> C16 / SUM(population_edit!D39:D1313) * 100000</f>
        <v>1.72691915</v>
      </c>
      <c r="H16" s="8">
        <f t="shared" si="3"/>
        <v>1.035886609</v>
      </c>
      <c r="L16" s="18"/>
      <c r="M16" s="18"/>
    </row>
    <row r="17">
      <c r="A17" s="19" t="s">
        <v>298</v>
      </c>
      <c r="B17" s="15">
        <v>17.0</v>
      </c>
      <c r="C17" s="15">
        <v>42.0</v>
      </c>
      <c r="D17" s="16">
        <f t="shared" ref="D17:E17" si="17"> B17 / SUM(B:B)</f>
        <v>0.01177285319</v>
      </c>
      <c r="E17" s="16">
        <f t="shared" si="17"/>
        <v>0.03535353535</v>
      </c>
      <c r="F17" s="8">
        <f> B17 / SUM(population_edit!C17:C1291) * 100000</f>
        <v>0.1306092445</v>
      </c>
      <c r="G17" s="8">
        <f> C17 / SUM(population_edit!D40:D1314) * 100000</f>
        <v>0.345602354</v>
      </c>
      <c r="H17" s="8">
        <f t="shared" si="3"/>
        <v>0.3779176934</v>
      </c>
      <c r="L17" s="18"/>
      <c r="M17" s="18"/>
    </row>
    <row r="18">
      <c r="A18" s="19" t="s">
        <v>299</v>
      </c>
      <c r="B18" s="15">
        <v>76.0</v>
      </c>
      <c r="C18" s="15">
        <v>56.0</v>
      </c>
      <c r="D18" s="16">
        <f t="shared" ref="D18:E18" si="18"> B18 / SUM(B:B)</f>
        <v>0.05263157895</v>
      </c>
      <c r="E18" s="16">
        <f t="shared" si="18"/>
        <v>0.04713804714</v>
      </c>
      <c r="F18" s="8">
        <f> B18 / SUM(population_edit!C18:C1292) * 100000</f>
        <v>0.5840871452</v>
      </c>
      <c r="G18" s="8">
        <f> C18 / SUM(population_edit!D41:D1315) * 100000</f>
        <v>0.4610831419</v>
      </c>
      <c r="H18" s="8">
        <f t="shared" si="3"/>
        <v>1.266771851</v>
      </c>
      <c r="L18" s="18"/>
      <c r="M18" s="18"/>
    </row>
    <row r="19">
      <c r="A19" s="19" t="s">
        <v>300</v>
      </c>
      <c r="B19" s="15">
        <v>160.0</v>
      </c>
      <c r="C19" s="15">
        <v>58.0</v>
      </c>
      <c r="D19" s="16">
        <f t="shared" ref="D19:E19" si="19"> B19 / SUM(B:B)</f>
        <v>0.1108033241</v>
      </c>
      <c r="E19" s="16">
        <f t="shared" si="19"/>
        <v>0.04882154882</v>
      </c>
      <c r="F19" s="8">
        <f> B19 / SUM(population_edit!C19:C1293) * 100000</f>
        <v>1.230105636</v>
      </c>
      <c r="G19" s="8">
        <f> C19 / SUM(population_edit!D42:D1316) * 100000</f>
        <v>0.4778384697</v>
      </c>
      <c r="H19" s="8">
        <f t="shared" si="3"/>
        <v>2.57431269</v>
      </c>
      <c r="L19" s="18"/>
      <c r="M19" s="18"/>
    </row>
    <row r="20">
      <c r="A20" s="19" t="s">
        <v>301</v>
      </c>
      <c r="B20" s="15">
        <v>1.0</v>
      </c>
      <c r="C20" s="15">
        <v>1.0</v>
      </c>
      <c r="D20" s="16">
        <f t="shared" ref="D20:E20" si="20"> B20 / SUM(B:B)</f>
        <v>0.0006925207756</v>
      </c>
      <c r="E20" s="16">
        <f t="shared" si="20"/>
        <v>0.0008417508418</v>
      </c>
      <c r="F20" s="8">
        <f> B20 / SUM(population_edit!C20:C1294) * 100000</f>
        <v>0.007691133315</v>
      </c>
      <c r="G20" s="8">
        <f> C20 / SUM(population_edit!D43:D1317) * 100000</f>
        <v>0.00824383075</v>
      </c>
      <c r="H20" s="8">
        <f t="shared" si="3"/>
        <v>0.9329562371</v>
      </c>
      <c r="L20" s="18"/>
      <c r="M20" s="18"/>
    </row>
    <row r="21">
      <c r="A21" s="19" t="s">
        <v>302</v>
      </c>
      <c r="B21" s="15">
        <v>480.0</v>
      </c>
      <c r="C21" s="15">
        <v>355.0</v>
      </c>
      <c r="D21" s="16">
        <f t="shared" ref="D21:E21" si="21"> B21 / SUM(B:B)</f>
        <v>0.3324099723</v>
      </c>
      <c r="E21" s="16">
        <f t="shared" si="21"/>
        <v>0.2988215488</v>
      </c>
      <c r="F21" s="8">
        <f> B21 / SUM(population_edit!C21:C1295) * 100000</f>
        <v>3.693222759</v>
      </c>
      <c r="G21" s="8">
        <f> C21 / SUM(population_edit!D44:D1318) * 100000</f>
        <v>2.928333291</v>
      </c>
      <c r="H21" s="8">
        <f t="shared" si="3"/>
        <v>1.26120301</v>
      </c>
      <c r="L21" s="18"/>
      <c r="M21" s="18"/>
    </row>
    <row r="22">
      <c r="A22" s="19" t="s">
        <v>303</v>
      </c>
      <c r="B22" s="15">
        <v>14.0</v>
      </c>
      <c r="C22" s="15">
        <v>7.0</v>
      </c>
      <c r="D22" s="16">
        <f t="shared" ref="D22:E22" si="22"> B22 / SUM(B:B)</f>
        <v>0.009695290859</v>
      </c>
      <c r="E22" s="16">
        <f t="shared" si="22"/>
        <v>0.005892255892</v>
      </c>
      <c r="F22" s="8">
        <f> B22 / SUM(population_edit!C22:C1296) * 100000</f>
        <v>0.1077672059</v>
      </c>
      <c r="G22" s="8">
        <f> C22 / SUM(population_edit!D45:D1319) * 100000</f>
        <v>0.05777579212</v>
      </c>
      <c r="H22" s="8">
        <f t="shared" si="3"/>
        <v>1.865265744</v>
      </c>
      <c r="L22" s="18"/>
      <c r="M22" s="18"/>
    </row>
    <row r="23">
      <c r="A23" s="19" t="s">
        <v>304</v>
      </c>
      <c r="B23" s="15">
        <v>66.0</v>
      </c>
      <c r="C23" s="15">
        <v>65.0</v>
      </c>
      <c r="D23" s="16">
        <f t="shared" ref="D23:E23" si="23"> B23 / SUM(B:B)</f>
        <v>0.04570637119</v>
      </c>
      <c r="E23" s="16">
        <f t="shared" si="23"/>
        <v>0.05471380471</v>
      </c>
      <c r="F23" s="8">
        <f> B23 / SUM(population_edit!C23:C1297) * 100000</f>
        <v>0.5082801141</v>
      </c>
      <c r="G23" s="8">
        <f> C23 / SUM(population_edit!D46:D1320) * 100000</f>
        <v>0.5367999489</v>
      </c>
      <c r="H23" s="8">
        <f t="shared" si="3"/>
        <v>0.9468706455</v>
      </c>
      <c r="L23" s="18"/>
      <c r="M23" s="18"/>
    </row>
    <row r="24">
      <c r="A24" s="19" t="s">
        <v>305</v>
      </c>
      <c r="B24" s="15">
        <v>10.0</v>
      </c>
      <c r="C24" s="15">
        <v>9.0</v>
      </c>
      <c r="D24" s="16">
        <f t="shared" ref="D24:E24" si="24"> B24 / SUM(B:B)</f>
        <v>0.006925207756</v>
      </c>
      <c r="E24" s="16">
        <f t="shared" si="24"/>
        <v>0.007575757576</v>
      </c>
      <c r="F24" s="8">
        <f> B24 / SUM(population_edit!C24:C1298) * 100000</f>
        <v>0.07705334449</v>
      </c>
      <c r="G24" s="8">
        <f> C24 / SUM(population_edit!D47:D1321) * 100000</f>
        <v>0.0743696552</v>
      </c>
      <c r="H24" s="8">
        <f t="shared" si="3"/>
        <v>1.036085811</v>
      </c>
      <c r="L24" s="18"/>
      <c r="M24" s="18"/>
    </row>
    <row r="25">
      <c r="A25" s="19" t="s">
        <v>306</v>
      </c>
      <c r="B25" s="15">
        <v>18.0</v>
      </c>
      <c r="C25" s="15">
        <v>10.0</v>
      </c>
      <c r="D25" s="16">
        <f t="shared" ref="D25:E25" si="25"> B25 / SUM(B:B)</f>
        <v>0.01246537396</v>
      </c>
      <c r="E25" s="16">
        <f t="shared" si="25"/>
        <v>0.008417508418</v>
      </c>
      <c r="F25" s="8">
        <f> B25 / SUM(population_edit!C25:C1299) * 100000</f>
        <v>0.1387758658</v>
      </c>
      <c r="G25" s="8">
        <f> C25 / SUM(population_edit!D48:D1322) * 100000</f>
        <v>0.0826893145</v>
      </c>
      <c r="H25" s="8">
        <f t="shared" si="3"/>
        <v>1.678280521</v>
      </c>
      <c r="L25" s="18"/>
      <c r="M25" s="18"/>
    </row>
    <row r="26">
      <c r="A26" s="19" t="s">
        <v>307</v>
      </c>
      <c r="B26" s="15">
        <v>10.0</v>
      </c>
      <c r="C26" s="15">
        <v>3.0</v>
      </c>
      <c r="D26" s="16">
        <f t="shared" ref="D26:E26" si="26"> B26 / SUM(B:B)</f>
        <v>0.006925207756</v>
      </c>
      <c r="E26" s="16">
        <f t="shared" si="26"/>
        <v>0.002525252525</v>
      </c>
      <c r="F26" s="8">
        <f> B26 / SUM(population_edit!C26:C1300) * 100000</f>
        <v>0.07713844152</v>
      </c>
      <c r="G26" s="8">
        <f> C26 / SUM(population_edit!D49:D1323) * 100000</f>
        <v>0.02482531461</v>
      </c>
      <c r="H26" s="8">
        <f t="shared" si="3"/>
        <v>3.107249304</v>
      </c>
      <c r="L26" s="18"/>
      <c r="M26" s="18"/>
    </row>
    <row r="27">
      <c r="A27" s="3" t="s">
        <v>308</v>
      </c>
      <c r="B27" s="6">
        <v>16.0</v>
      </c>
      <c r="C27" s="6">
        <v>13.0</v>
      </c>
      <c r="D27" s="16">
        <f t="shared" ref="D27:E27" si="27"> B27 / SUM(B:B)</f>
        <v>0.01108033241</v>
      </c>
      <c r="E27" s="16">
        <f t="shared" si="27"/>
        <v>0.01094276094</v>
      </c>
      <c r="F27" s="8">
        <f> B27 / SUM(population_edit!C27:C1301) * 100000</f>
        <v>0.1234877288</v>
      </c>
      <c r="G27" s="8">
        <f> C27 / SUM(population_edit!D50:D1324) * 100000</f>
        <v>0.1076598581</v>
      </c>
      <c r="H27" s="8">
        <f t="shared" si="3"/>
        <v>1.147017383</v>
      </c>
      <c r="L27" s="18"/>
      <c r="M27" s="18"/>
    </row>
    <row r="28">
      <c r="A28" s="3"/>
      <c r="B28" s="4"/>
      <c r="C28" s="6"/>
      <c r="D28" s="9"/>
      <c r="E28" s="8"/>
      <c r="F28" s="9"/>
      <c r="G28" s="9"/>
      <c r="H28" s="9"/>
    </row>
    <row r="29">
      <c r="A29" s="3"/>
      <c r="B29" s="4"/>
      <c r="C29" s="6"/>
      <c r="D29" s="9"/>
      <c r="E29" s="9"/>
      <c r="F29" s="9"/>
      <c r="G29" s="9"/>
      <c r="H29" s="9"/>
    </row>
    <row r="30">
      <c r="A30" s="3"/>
      <c r="B30" s="4"/>
      <c r="C30" s="6"/>
      <c r="D30" s="9"/>
      <c r="E30" s="9"/>
      <c r="F30" s="9"/>
      <c r="G30" s="9"/>
      <c r="H30" s="9"/>
    </row>
    <row r="31">
      <c r="A31" s="3"/>
      <c r="B31" s="4"/>
      <c r="C31" s="6"/>
      <c r="D31" s="9"/>
      <c r="E31" s="9"/>
      <c r="F31" s="9"/>
      <c r="G31" s="9"/>
      <c r="H31" s="9"/>
    </row>
    <row r="32">
      <c r="A32" s="3"/>
      <c r="B32" s="4"/>
      <c r="C32" s="6"/>
      <c r="D32" s="9"/>
      <c r="E32" s="9"/>
      <c r="F32" s="9"/>
      <c r="G32" s="9"/>
      <c r="H32" s="9"/>
    </row>
    <row r="33">
      <c r="A33" s="3"/>
      <c r="B33" s="4"/>
      <c r="C33" s="6"/>
      <c r="D33" s="9"/>
      <c r="E33" s="9"/>
      <c r="F33" s="9"/>
      <c r="G33" s="9"/>
      <c r="H33" s="9"/>
    </row>
    <row r="34">
      <c r="A34" s="3"/>
      <c r="B34" s="4"/>
      <c r="C34" s="6"/>
      <c r="D34" s="9"/>
      <c r="E34" s="9"/>
      <c r="F34" s="9"/>
      <c r="G34" s="9"/>
      <c r="H34" s="9"/>
    </row>
    <row r="35">
      <c r="A35" s="3"/>
      <c r="B35" s="4"/>
      <c r="C35" s="6"/>
      <c r="D35" s="9"/>
      <c r="E35" s="9"/>
      <c r="F35" s="9"/>
      <c r="G35" s="9"/>
      <c r="H35" s="9"/>
    </row>
    <row r="36">
      <c r="A36" s="3"/>
      <c r="B36" s="4"/>
      <c r="C36" s="6"/>
      <c r="D36" s="9"/>
      <c r="E36" s="9"/>
      <c r="F36" s="9"/>
      <c r="G36" s="9"/>
      <c r="H36" s="9"/>
    </row>
    <row r="37">
      <c r="A37" s="3"/>
      <c r="B37" s="4"/>
      <c r="C37" s="6"/>
      <c r="D37" s="9"/>
      <c r="E37" s="9"/>
      <c r="F37" s="9"/>
      <c r="G37" s="9"/>
      <c r="H37" s="9"/>
    </row>
    <row r="38">
      <c r="A38" s="3"/>
      <c r="B38" s="4"/>
      <c r="C38" s="6"/>
      <c r="D38" s="9"/>
      <c r="E38" s="9"/>
      <c r="F38" s="9"/>
      <c r="G38" s="9"/>
      <c r="H38" s="9"/>
    </row>
    <row r="39">
      <c r="A39" s="3"/>
      <c r="B39" s="4"/>
      <c r="C39" s="6"/>
      <c r="D39" s="9"/>
      <c r="E39" s="9"/>
      <c r="F39" s="9"/>
      <c r="G39" s="9"/>
      <c r="H39" s="9"/>
    </row>
    <row r="40">
      <c r="A40" s="3"/>
      <c r="B40" s="4"/>
      <c r="C40" s="6"/>
      <c r="D40" s="9"/>
      <c r="E40" s="9"/>
      <c r="F40" s="9"/>
      <c r="G40" s="9"/>
      <c r="H40" s="9"/>
    </row>
    <row r="41">
      <c r="A41" s="3"/>
      <c r="B41" s="4"/>
      <c r="C41" s="6"/>
      <c r="D41" s="9"/>
      <c r="E41" s="9"/>
      <c r="F41" s="9"/>
      <c r="G41" s="9"/>
      <c r="H41" s="9"/>
    </row>
    <row r="42">
      <c r="A42" s="3"/>
      <c r="B42" s="4"/>
      <c r="C42" s="6"/>
      <c r="D42" s="9"/>
      <c r="E42" s="9"/>
      <c r="F42" s="9"/>
      <c r="G42" s="9"/>
      <c r="H42" s="9"/>
    </row>
    <row r="43">
      <c r="A43" s="3"/>
      <c r="B43" s="4"/>
      <c r="C43" s="6"/>
      <c r="D43" s="9"/>
      <c r="E43" s="9"/>
      <c r="F43" s="9"/>
      <c r="G43" s="9"/>
      <c r="H43" s="9"/>
    </row>
    <row r="44">
      <c r="A44" s="3"/>
      <c r="B44" s="4"/>
      <c r="C44" s="6"/>
      <c r="D44" s="9"/>
      <c r="E44" s="9"/>
      <c r="F44" s="9"/>
      <c r="G44" s="9"/>
      <c r="H44" s="9"/>
    </row>
    <row r="45">
      <c r="A45" s="3"/>
      <c r="B45" s="4"/>
      <c r="C45" s="6"/>
      <c r="D45" s="9"/>
      <c r="E45" s="9"/>
      <c r="F45" s="9"/>
      <c r="G45" s="9"/>
      <c r="H45" s="9"/>
    </row>
    <row r="46">
      <c r="A46" s="3"/>
      <c r="B46" s="4"/>
      <c r="C46" s="6"/>
      <c r="D46" s="9"/>
      <c r="E46" s="9"/>
      <c r="F46" s="9"/>
      <c r="G46" s="9"/>
      <c r="H46" s="9"/>
    </row>
    <row r="47">
      <c r="A47" s="3"/>
      <c r="B47" s="4"/>
      <c r="C47" s="6"/>
      <c r="D47" s="9"/>
      <c r="E47" s="9"/>
      <c r="F47" s="9"/>
      <c r="G47" s="9"/>
      <c r="H47" s="9"/>
    </row>
    <row r="48">
      <c r="A48" s="3"/>
      <c r="B48" s="4"/>
      <c r="C48" s="6"/>
      <c r="D48" s="9"/>
      <c r="E48" s="9"/>
      <c r="F48" s="9"/>
      <c r="G48" s="9"/>
      <c r="H48" s="9"/>
    </row>
    <row r="49">
      <c r="A49" s="3"/>
      <c r="B49" s="4"/>
      <c r="C49" s="6"/>
      <c r="D49" s="9"/>
      <c r="E49" s="9"/>
      <c r="F49" s="9"/>
      <c r="G49" s="9"/>
      <c r="H49" s="9"/>
    </row>
    <row r="50">
      <c r="A50" s="3"/>
      <c r="B50" s="4"/>
      <c r="C50" s="6"/>
      <c r="D50" s="9"/>
      <c r="E50" s="9"/>
      <c r="F50" s="9"/>
      <c r="G50" s="9"/>
      <c r="H50" s="9"/>
    </row>
    <row r="51">
      <c r="A51" s="3"/>
      <c r="B51" s="4"/>
      <c r="C51" s="6"/>
      <c r="D51" s="9"/>
      <c r="E51" s="9"/>
      <c r="F51" s="9"/>
      <c r="G51" s="9"/>
      <c r="H51" s="9"/>
    </row>
    <row r="52">
      <c r="A52" s="3"/>
      <c r="B52" s="4"/>
      <c r="C52" s="6"/>
      <c r="D52" s="9"/>
      <c r="E52" s="9"/>
      <c r="F52" s="9"/>
      <c r="G52" s="9"/>
      <c r="H52" s="9"/>
    </row>
    <row r="53">
      <c r="A53" s="3"/>
      <c r="B53" s="4"/>
      <c r="C53" s="6"/>
      <c r="D53" s="9"/>
      <c r="E53" s="9"/>
      <c r="F53" s="9"/>
      <c r="G53" s="9"/>
      <c r="H53" s="9"/>
    </row>
    <row r="54">
      <c r="A54" s="3"/>
      <c r="B54" s="4"/>
      <c r="C54" s="6"/>
      <c r="D54" s="9"/>
      <c r="E54" s="9"/>
      <c r="F54" s="9"/>
      <c r="G54" s="9"/>
      <c r="H54" s="9"/>
    </row>
    <row r="55">
      <c r="A55" s="3"/>
      <c r="B55" s="4"/>
      <c r="C55" s="6"/>
      <c r="D55" s="9"/>
      <c r="E55" s="9"/>
      <c r="F55" s="9"/>
      <c r="G55" s="9"/>
      <c r="H55" s="9"/>
    </row>
    <row r="56">
      <c r="A56" s="3"/>
      <c r="B56" s="4"/>
      <c r="C56" s="6"/>
      <c r="D56" s="9"/>
      <c r="E56" s="9"/>
      <c r="F56" s="9"/>
      <c r="G56" s="9"/>
      <c r="H56" s="9"/>
    </row>
    <row r="57">
      <c r="A57" s="3"/>
      <c r="B57" s="4"/>
      <c r="C57" s="6"/>
      <c r="D57" s="9"/>
      <c r="E57" s="9"/>
      <c r="F57" s="9"/>
      <c r="G57" s="9"/>
      <c r="H57" s="9"/>
    </row>
    <row r="58">
      <c r="A58" s="3"/>
      <c r="B58" s="4"/>
      <c r="C58" s="6"/>
      <c r="D58" s="9"/>
      <c r="E58" s="9"/>
      <c r="F58" s="9"/>
      <c r="G58" s="9"/>
      <c r="H58" s="9"/>
    </row>
    <row r="59">
      <c r="A59" s="3"/>
      <c r="B59" s="4"/>
      <c r="C59" s="6"/>
      <c r="D59" s="9"/>
      <c r="E59" s="9"/>
      <c r="F59" s="9"/>
      <c r="G59" s="9"/>
      <c r="H59" s="9"/>
    </row>
    <row r="60">
      <c r="A60" s="3"/>
      <c r="B60" s="4"/>
      <c r="C60" s="6"/>
      <c r="D60" s="9"/>
      <c r="E60" s="9"/>
      <c r="F60" s="9"/>
      <c r="G60" s="9"/>
      <c r="H60" s="9"/>
    </row>
    <row r="61">
      <c r="A61" s="3"/>
      <c r="B61" s="4"/>
      <c r="C61" s="6"/>
      <c r="D61" s="9"/>
      <c r="E61" s="9"/>
      <c r="F61" s="9"/>
      <c r="G61" s="9"/>
      <c r="H61" s="9"/>
    </row>
    <row r="62">
      <c r="A62" s="3"/>
      <c r="B62" s="4"/>
      <c r="C62" s="6"/>
      <c r="D62" s="9"/>
      <c r="E62" s="9"/>
      <c r="F62" s="9"/>
      <c r="G62" s="9"/>
      <c r="H62" s="9"/>
    </row>
    <row r="63">
      <c r="A63" s="3"/>
      <c r="B63" s="4"/>
      <c r="C63" s="6"/>
      <c r="D63" s="9"/>
      <c r="E63" s="9"/>
      <c r="F63" s="9"/>
      <c r="G63" s="9"/>
      <c r="H63" s="9"/>
    </row>
    <row r="64">
      <c r="A64" s="3"/>
      <c r="B64" s="4"/>
      <c r="C64" s="6"/>
      <c r="D64" s="9"/>
      <c r="E64" s="9"/>
      <c r="F64" s="9"/>
      <c r="G64" s="9"/>
      <c r="H64" s="9"/>
    </row>
    <row r="65">
      <c r="A65" s="3"/>
      <c r="B65" s="4"/>
      <c r="C65" s="6"/>
      <c r="D65" s="9"/>
      <c r="E65" s="9"/>
      <c r="F65" s="9"/>
      <c r="G65" s="9"/>
      <c r="H65" s="9"/>
    </row>
    <row r="66">
      <c r="A66" s="3"/>
      <c r="B66" s="4"/>
      <c r="C66" s="6"/>
      <c r="D66" s="9"/>
      <c r="E66" s="9"/>
      <c r="F66" s="9"/>
      <c r="G66" s="9"/>
      <c r="H66" s="9"/>
    </row>
    <row r="67">
      <c r="A67" s="3"/>
      <c r="B67" s="4"/>
      <c r="C67" s="6"/>
      <c r="D67" s="9"/>
      <c r="E67" s="9"/>
      <c r="F67" s="9"/>
      <c r="G67" s="9"/>
      <c r="H67" s="9"/>
    </row>
    <row r="68">
      <c r="A68" s="3"/>
      <c r="B68" s="4"/>
      <c r="C68" s="6"/>
      <c r="D68" s="9"/>
      <c r="E68" s="9"/>
      <c r="F68" s="9"/>
      <c r="G68" s="9"/>
      <c r="H68" s="9"/>
    </row>
    <row r="69">
      <c r="A69" s="3"/>
      <c r="B69" s="4"/>
      <c r="C69" s="6"/>
      <c r="D69" s="9"/>
      <c r="E69" s="9"/>
      <c r="F69" s="9"/>
      <c r="G69" s="9"/>
      <c r="H69" s="9"/>
    </row>
    <row r="70">
      <c r="A70" s="3"/>
      <c r="B70" s="4"/>
      <c r="C70" s="6"/>
      <c r="D70" s="9"/>
      <c r="E70" s="9"/>
      <c r="F70" s="9"/>
      <c r="G70" s="9"/>
      <c r="H70" s="9"/>
    </row>
    <row r="71">
      <c r="A71" s="3"/>
      <c r="B71" s="4"/>
      <c r="C71" s="6"/>
      <c r="D71" s="9"/>
      <c r="E71" s="9"/>
      <c r="F71" s="9"/>
      <c r="G71" s="9"/>
      <c r="H71" s="9"/>
    </row>
    <row r="72">
      <c r="A72" s="3"/>
      <c r="B72" s="4"/>
      <c r="C72" s="6"/>
      <c r="D72" s="9"/>
      <c r="E72" s="9"/>
      <c r="F72" s="9"/>
      <c r="G72" s="9"/>
      <c r="H72" s="9"/>
    </row>
    <row r="73">
      <c r="A73" s="3"/>
      <c r="B73" s="4"/>
      <c r="C73" s="6"/>
      <c r="D73" s="9"/>
      <c r="E73" s="9"/>
      <c r="F73" s="9"/>
      <c r="G73" s="9"/>
      <c r="H73" s="9"/>
    </row>
    <row r="74">
      <c r="A74" s="3"/>
      <c r="B74" s="4"/>
      <c r="C74" s="6"/>
      <c r="D74" s="9"/>
      <c r="E74" s="9"/>
      <c r="F74" s="9"/>
      <c r="G74" s="9"/>
      <c r="H74" s="9"/>
    </row>
    <row r="75">
      <c r="A75" s="3"/>
      <c r="B75" s="4"/>
      <c r="C75" s="6"/>
      <c r="D75" s="9"/>
      <c r="E75" s="9"/>
      <c r="F75" s="9"/>
      <c r="G75" s="9"/>
      <c r="H75" s="9"/>
    </row>
    <row r="76">
      <c r="A76" s="3"/>
      <c r="B76" s="4"/>
      <c r="C76" s="6"/>
      <c r="D76" s="9"/>
      <c r="E76" s="9"/>
      <c r="F76" s="9"/>
      <c r="G76" s="9"/>
      <c r="H76" s="9"/>
    </row>
    <row r="77">
      <c r="A77" s="3"/>
      <c r="B77" s="4"/>
      <c r="C77" s="6"/>
      <c r="D77" s="9"/>
      <c r="E77" s="9"/>
      <c r="F77" s="9"/>
      <c r="G77" s="9"/>
      <c r="H77" s="9"/>
    </row>
    <row r="78">
      <c r="A78" s="3"/>
      <c r="B78" s="4"/>
      <c r="C78" s="6"/>
      <c r="D78" s="9"/>
      <c r="E78" s="9"/>
      <c r="F78" s="9"/>
      <c r="G78" s="9"/>
      <c r="H78" s="9"/>
    </row>
    <row r="79">
      <c r="A79" s="3"/>
      <c r="B79" s="4"/>
      <c r="C79" s="6"/>
      <c r="D79" s="9"/>
      <c r="E79" s="9"/>
      <c r="F79" s="9"/>
      <c r="G79" s="9"/>
      <c r="H79" s="9"/>
    </row>
    <row r="80">
      <c r="A80" s="3"/>
      <c r="B80" s="4"/>
      <c r="C80" s="6"/>
      <c r="D80" s="9"/>
      <c r="E80" s="9"/>
      <c r="F80" s="9"/>
      <c r="G80" s="9"/>
      <c r="H80" s="9"/>
    </row>
    <row r="81">
      <c r="A81" s="10"/>
      <c r="B81" s="9"/>
      <c r="C81" s="9"/>
      <c r="D81" s="9"/>
      <c r="E81" s="9"/>
      <c r="F81" s="9"/>
      <c r="G81" s="9"/>
      <c r="H81" s="9"/>
    </row>
    <row r="82">
      <c r="A82" s="10"/>
      <c r="B82" s="9"/>
      <c r="C82" s="9"/>
      <c r="D82" s="9"/>
      <c r="E82" s="9"/>
      <c r="F82" s="9"/>
      <c r="G82" s="9"/>
      <c r="H82" s="9"/>
    </row>
    <row r="83">
      <c r="A83" s="10"/>
      <c r="B83" s="9"/>
      <c r="C83" s="9"/>
      <c r="D83" s="9"/>
      <c r="E83" s="9"/>
      <c r="F83" s="9"/>
      <c r="G83" s="9"/>
      <c r="H83" s="9"/>
    </row>
    <row r="84">
      <c r="A84" s="10"/>
      <c r="B84" s="9"/>
      <c r="C84" s="9"/>
      <c r="D84" s="9"/>
      <c r="E84" s="9"/>
      <c r="F84" s="9"/>
      <c r="G84" s="9"/>
      <c r="H84" s="9"/>
    </row>
    <row r="85">
      <c r="A85" s="10"/>
      <c r="B85" s="9"/>
      <c r="C85" s="9"/>
      <c r="D85" s="9"/>
      <c r="E85" s="9"/>
      <c r="F85" s="9"/>
      <c r="G85" s="9"/>
      <c r="H85" s="9"/>
    </row>
    <row r="86">
      <c r="A86" s="10"/>
      <c r="B86" s="9"/>
      <c r="C86" s="9"/>
      <c r="D86" s="9"/>
      <c r="E86" s="9"/>
      <c r="F86" s="9"/>
      <c r="G86" s="9"/>
      <c r="H86" s="9"/>
    </row>
    <row r="87">
      <c r="A87" s="10"/>
      <c r="B87" s="9"/>
      <c r="C87" s="9"/>
      <c r="D87" s="9"/>
      <c r="E87" s="9"/>
      <c r="F87" s="9"/>
      <c r="G87" s="9"/>
      <c r="H87" s="9"/>
    </row>
    <row r="88">
      <c r="A88" s="10"/>
      <c r="B88" s="9"/>
      <c r="C88" s="9"/>
      <c r="D88" s="9"/>
      <c r="E88" s="9"/>
      <c r="F88" s="9"/>
      <c r="G88" s="9"/>
      <c r="H88" s="9"/>
    </row>
    <row r="89">
      <c r="A89" s="10"/>
      <c r="B89" s="9"/>
      <c r="C89" s="9"/>
      <c r="D89" s="9"/>
      <c r="E89" s="9"/>
      <c r="F89" s="9"/>
      <c r="G89" s="9"/>
      <c r="H89" s="9"/>
    </row>
    <row r="90">
      <c r="A90" s="10"/>
      <c r="B90" s="9"/>
      <c r="C90" s="9"/>
      <c r="D90" s="9"/>
      <c r="E90" s="9"/>
      <c r="F90" s="9"/>
      <c r="G90" s="9"/>
      <c r="H90" s="9"/>
    </row>
    <row r="91">
      <c r="A91" s="10"/>
      <c r="B91" s="9"/>
      <c r="C91" s="9"/>
      <c r="D91" s="9"/>
      <c r="E91" s="9"/>
      <c r="F91" s="9"/>
      <c r="G91" s="9"/>
      <c r="H91" s="9"/>
    </row>
    <row r="92">
      <c r="A92" s="10"/>
      <c r="B92" s="9"/>
      <c r="C92" s="9"/>
      <c r="D92" s="9"/>
      <c r="E92" s="9"/>
      <c r="F92" s="9"/>
      <c r="G92" s="9"/>
      <c r="H92" s="9"/>
    </row>
    <row r="93">
      <c r="A93" s="10"/>
      <c r="B93" s="9"/>
      <c r="C93" s="9"/>
      <c r="D93" s="9"/>
      <c r="E93" s="9"/>
      <c r="F93" s="9"/>
      <c r="G93" s="9"/>
      <c r="H93" s="9"/>
    </row>
    <row r="94">
      <c r="A94" s="10"/>
      <c r="B94" s="9"/>
      <c r="C94" s="9"/>
      <c r="D94" s="9"/>
      <c r="E94" s="9"/>
      <c r="F94" s="9"/>
      <c r="G94" s="9"/>
      <c r="H94" s="9"/>
    </row>
    <row r="95">
      <c r="A95" s="10"/>
      <c r="B95" s="9"/>
      <c r="C95" s="9"/>
      <c r="D95" s="9"/>
      <c r="E95" s="9"/>
      <c r="F95" s="9"/>
      <c r="G95" s="9"/>
      <c r="H95" s="9"/>
    </row>
    <row r="96">
      <c r="A96" s="10"/>
      <c r="B96" s="9"/>
      <c r="C96" s="9"/>
      <c r="D96" s="9"/>
      <c r="E96" s="9"/>
      <c r="F96" s="9"/>
      <c r="G96" s="9"/>
      <c r="H96" s="9"/>
    </row>
    <row r="97">
      <c r="A97" s="10"/>
      <c r="B97" s="9"/>
      <c r="C97" s="9"/>
      <c r="D97" s="9"/>
      <c r="E97" s="9"/>
      <c r="F97" s="9"/>
      <c r="G97" s="9"/>
      <c r="H97" s="9"/>
    </row>
    <row r="98">
      <c r="A98" s="10"/>
      <c r="B98" s="9"/>
      <c r="C98" s="9"/>
      <c r="D98" s="9"/>
      <c r="E98" s="9"/>
      <c r="F98" s="9"/>
      <c r="G98" s="9"/>
      <c r="H98" s="9"/>
    </row>
    <row r="99">
      <c r="A99" s="10"/>
      <c r="B99" s="9"/>
      <c r="C99" s="9"/>
      <c r="D99" s="9"/>
      <c r="E99" s="9"/>
      <c r="F99" s="9"/>
      <c r="G99" s="9"/>
      <c r="H99" s="9"/>
    </row>
    <row r="100">
      <c r="A100" s="10"/>
      <c r="B100" s="9"/>
      <c r="C100" s="9"/>
      <c r="D100" s="9"/>
      <c r="E100" s="9"/>
      <c r="F100" s="9"/>
      <c r="G100" s="9"/>
      <c r="H100" s="9"/>
    </row>
    <row r="101">
      <c r="A101" s="10"/>
      <c r="B101" s="9"/>
      <c r="C101" s="9"/>
      <c r="D101" s="9"/>
      <c r="E101" s="9"/>
      <c r="F101" s="9"/>
      <c r="G101" s="9"/>
      <c r="H101" s="9"/>
    </row>
    <row r="102">
      <c r="A102" s="10"/>
      <c r="B102" s="9"/>
      <c r="C102" s="9"/>
      <c r="D102" s="9"/>
      <c r="E102" s="9"/>
      <c r="F102" s="9"/>
      <c r="G102" s="9"/>
      <c r="H102" s="9"/>
    </row>
    <row r="103">
      <c r="A103" s="10"/>
      <c r="B103" s="9"/>
      <c r="C103" s="9"/>
      <c r="D103" s="9"/>
      <c r="E103" s="9"/>
      <c r="F103" s="9"/>
      <c r="G103" s="9"/>
      <c r="H103" s="9"/>
    </row>
    <row r="104">
      <c r="A104" s="10"/>
      <c r="B104" s="9"/>
      <c r="C104" s="9"/>
      <c r="D104" s="9"/>
      <c r="E104" s="9"/>
      <c r="F104" s="9"/>
      <c r="G104" s="9"/>
      <c r="H104" s="9"/>
    </row>
    <row r="105">
      <c r="A105" s="10"/>
      <c r="B105" s="9"/>
      <c r="C105" s="9"/>
      <c r="D105" s="9"/>
      <c r="E105" s="9"/>
      <c r="F105" s="9"/>
      <c r="G105" s="9"/>
      <c r="H105" s="9"/>
    </row>
    <row r="106">
      <c r="A106" s="10"/>
      <c r="B106" s="9"/>
      <c r="C106" s="9"/>
      <c r="D106" s="9"/>
      <c r="E106" s="9"/>
      <c r="F106" s="9"/>
      <c r="G106" s="9"/>
      <c r="H106" s="9"/>
    </row>
    <row r="107">
      <c r="A107" s="10"/>
      <c r="B107" s="9"/>
      <c r="C107" s="9"/>
      <c r="D107" s="9"/>
      <c r="E107" s="9"/>
      <c r="F107" s="9"/>
      <c r="G107" s="9"/>
      <c r="H107" s="9"/>
    </row>
    <row r="108">
      <c r="A108" s="10"/>
      <c r="B108" s="9"/>
      <c r="C108" s="9"/>
      <c r="D108" s="9"/>
      <c r="E108" s="9"/>
      <c r="F108" s="9"/>
      <c r="G108" s="9"/>
      <c r="H108" s="9"/>
    </row>
    <row r="109">
      <c r="A109" s="10"/>
      <c r="B109" s="9"/>
      <c r="C109" s="9"/>
      <c r="D109" s="9"/>
      <c r="E109" s="9"/>
      <c r="F109" s="9"/>
      <c r="G109" s="9"/>
      <c r="H109" s="9"/>
    </row>
    <row r="110">
      <c r="A110" s="10"/>
      <c r="B110" s="9"/>
      <c r="C110" s="9"/>
      <c r="D110" s="9"/>
      <c r="E110" s="9"/>
      <c r="F110" s="9"/>
      <c r="G110" s="9"/>
      <c r="H110" s="9"/>
    </row>
    <row r="111">
      <c r="A111" s="10"/>
      <c r="B111" s="9"/>
      <c r="C111" s="9"/>
      <c r="D111" s="9"/>
      <c r="E111" s="9"/>
      <c r="F111" s="9"/>
      <c r="G111" s="9"/>
      <c r="H111" s="9"/>
    </row>
    <row r="112">
      <c r="A112" s="10"/>
      <c r="B112" s="9"/>
      <c r="C112" s="9"/>
      <c r="D112" s="9"/>
      <c r="E112" s="9"/>
      <c r="F112" s="9"/>
      <c r="G112" s="9"/>
      <c r="H112" s="9"/>
    </row>
    <row r="113">
      <c r="A113" s="10"/>
      <c r="B113" s="9"/>
      <c r="C113" s="9"/>
      <c r="D113" s="9"/>
      <c r="E113" s="9"/>
      <c r="F113" s="9"/>
      <c r="G113" s="9"/>
      <c r="H113" s="9"/>
    </row>
    <row r="114">
      <c r="A114" s="10"/>
      <c r="B114" s="9"/>
      <c r="C114" s="9"/>
      <c r="D114" s="9"/>
      <c r="E114" s="9"/>
      <c r="F114" s="9"/>
      <c r="G114" s="9"/>
      <c r="H114" s="9"/>
    </row>
    <row r="115">
      <c r="A115" s="10"/>
      <c r="B115" s="9"/>
      <c r="C115" s="9"/>
      <c r="D115" s="9"/>
      <c r="E115" s="9"/>
      <c r="F115" s="9"/>
      <c r="G115" s="9"/>
      <c r="H115" s="9"/>
    </row>
    <row r="116">
      <c r="A116" s="10"/>
      <c r="B116" s="9"/>
      <c r="C116" s="9"/>
      <c r="D116" s="9"/>
      <c r="E116" s="9"/>
      <c r="F116" s="9"/>
      <c r="G116" s="9"/>
      <c r="H116" s="9"/>
    </row>
    <row r="117">
      <c r="A117" s="10"/>
      <c r="B117" s="9"/>
      <c r="C117" s="9"/>
      <c r="D117" s="9"/>
      <c r="E117" s="9"/>
      <c r="F117" s="9"/>
      <c r="G117" s="9"/>
      <c r="H117" s="9"/>
    </row>
    <row r="118">
      <c r="A118" s="10"/>
      <c r="B118" s="9"/>
      <c r="C118" s="9"/>
      <c r="D118" s="9"/>
      <c r="E118" s="9"/>
      <c r="F118" s="9"/>
      <c r="G118" s="9"/>
      <c r="H118" s="9"/>
    </row>
    <row r="119">
      <c r="A119" s="10"/>
      <c r="B119" s="9"/>
      <c r="C119" s="9"/>
      <c r="D119" s="9"/>
      <c r="E119" s="9"/>
      <c r="F119" s="9"/>
      <c r="G119" s="9"/>
      <c r="H119" s="9"/>
    </row>
    <row r="120">
      <c r="A120" s="10"/>
      <c r="B120" s="9"/>
      <c r="C120" s="9"/>
      <c r="D120" s="9"/>
      <c r="E120" s="9"/>
      <c r="F120" s="9"/>
      <c r="G120" s="9"/>
      <c r="H120" s="9"/>
    </row>
    <row r="121">
      <c r="A121" s="10"/>
      <c r="B121" s="9"/>
      <c r="C121" s="9"/>
      <c r="D121" s="9"/>
      <c r="E121" s="9"/>
      <c r="F121" s="9"/>
      <c r="G121" s="9"/>
      <c r="H121" s="9"/>
    </row>
    <row r="122">
      <c r="A122" s="10"/>
      <c r="B122" s="9"/>
      <c r="C122" s="9"/>
      <c r="D122" s="9"/>
      <c r="E122" s="9"/>
      <c r="F122" s="9"/>
      <c r="G122" s="9"/>
      <c r="H122" s="9"/>
    </row>
    <row r="123">
      <c r="A123" s="10"/>
      <c r="B123" s="9"/>
      <c r="C123" s="9"/>
      <c r="D123" s="9"/>
      <c r="E123" s="9"/>
      <c r="F123" s="9"/>
      <c r="G123" s="9"/>
      <c r="H123" s="9"/>
    </row>
    <row r="124">
      <c r="A124" s="10"/>
      <c r="B124" s="9"/>
      <c r="C124" s="9"/>
      <c r="D124" s="9"/>
      <c r="E124" s="9"/>
      <c r="F124" s="9"/>
      <c r="G124" s="9"/>
      <c r="H124" s="9"/>
    </row>
    <row r="125">
      <c r="A125" s="10"/>
      <c r="B125" s="9"/>
      <c r="C125" s="9"/>
      <c r="D125" s="9"/>
      <c r="E125" s="9"/>
      <c r="F125" s="9"/>
      <c r="G125" s="9"/>
      <c r="H125" s="9"/>
    </row>
    <row r="126">
      <c r="A126" s="10"/>
      <c r="B126" s="9"/>
      <c r="C126" s="9"/>
      <c r="D126" s="9"/>
      <c r="E126" s="9"/>
      <c r="F126" s="9"/>
      <c r="G126" s="9"/>
      <c r="H126" s="9"/>
    </row>
    <row r="127">
      <c r="A127" s="10"/>
      <c r="B127" s="9"/>
      <c r="C127" s="9"/>
      <c r="D127" s="9"/>
      <c r="E127" s="9"/>
      <c r="F127" s="9"/>
      <c r="G127" s="9"/>
      <c r="H127" s="9"/>
    </row>
    <row r="128">
      <c r="A128" s="10"/>
      <c r="B128" s="9"/>
      <c r="C128" s="9"/>
      <c r="D128" s="9"/>
      <c r="E128" s="9"/>
      <c r="F128" s="9"/>
      <c r="G128" s="9"/>
      <c r="H128" s="9"/>
    </row>
    <row r="129">
      <c r="A129" s="10"/>
      <c r="B129" s="9"/>
      <c r="C129" s="9"/>
      <c r="D129" s="9"/>
      <c r="E129" s="9"/>
      <c r="F129" s="9"/>
      <c r="G129" s="9"/>
      <c r="H129" s="9"/>
    </row>
    <row r="130">
      <c r="A130" s="10"/>
      <c r="B130" s="9"/>
      <c r="C130" s="9"/>
      <c r="D130" s="9"/>
      <c r="E130" s="9"/>
      <c r="F130" s="9"/>
      <c r="G130" s="9"/>
      <c r="H130" s="9"/>
    </row>
    <row r="131">
      <c r="A131" s="10"/>
      <c r="B131" s="9"/>
      <c r="C131" s="9"/>
      <c r="D131" s="9"/>
      <c r="E131" s="9"/>
      <c r="F131" s="9"/>
      <c r="G131" s="9"/>
      <c r="H131" s="9"/>
    </row>
    <row r="132">
      <c r="A132" s="10"/>
      <c r="B132" s="9"/>
      <c r="C132" s="9"/>
      <c r="D132" s="9"/>
      <c r="E132" s="9"/>
      <c r="F132" s="9"/>
      <c r="G132" s="9"/>
      <c r="H132" s="9"/>
    </row>
    <row r="133">
      <c r="A133" s="10"/>
      <c r="B133" s="9"/>
      <c r="C133" s="9"/>
      <c r="D133" s="9"/>
      <c r="E133" s="9"/>
      <c r="F133" s="9"/>
      <c r="G133" s="9"/>
      <c r="H133" s="9"/>
    </row>
    <row r="134">
      <c r="A134" s="10"/>
      <c r="B134" s="9"/>
      <c r="C134" s="9"/>
      <c r="D134" s="9"/>
      <c r="E134" s="9"/>
      <c r="F134" s="9"/>
      <c r="G134" s="9"/>
      <c r="H134" s="9"/>
    </row>
    <row r="135">
      <c r="A135" s="10"/>
      <c r="B135" s="9"/>
      <c r="C135" s="9"/>
      <c r="D135" s="9"/>
      <c r="E135" s="9"/>
      <c r="F135" s="9"/>
      <c r="G135" s="9"/>
      <c r="H135" s="9"/>
    </row>
    <row r="136">
      <c r="A136" s="10"/>
      <c r="B136" s="9"/>
      <c r="C136" s="9"/>
      <c r="D136" s="9"/>
      <c r="E136" s="9"/>
      <c r="F136" s="9"/>
      <c r="G136" s="9"/>
      <c r="H136" s="9"/>
    </row>
    <row r="137">
      <c r="A137" s="10"/>
      <c r="B137" s="9"/>
      <c r="C137" s="9"/>
      <c r="D137" s="9"/>
      <c r="E137" s="9"/>
      <c r="F137" s="9"/>
      <c r="G137" s="9"/>
      <c r="H137" s="9"/>
    </row>
    <row r="138">
      <c r="A138" s="10"/>
      <c r="B138" s="9"/>
      <c r="C138" s="9"/>
      <c r="D138" s="9"/>
      <c r="E138" s="9"/>
      <c r="F138" s="9"/>
      <c r="G138" s="9"/>
      <c r="H138" s="9"/>
    </row>
    <row r="139">
      <c r="A139" s="10"/>
      <c r="B139" s="9"/>
      <c r="C139" s="9"/>
      <c r="D139" s="9"/>
      <c r="E139" s="9"/>
      <c r="F139" s="9"/>
      <c r="G139" s="9"/>
      <c r="H139" s="9"/>
    </row>
    <row r="140">
      <c r="A140" s="10"/>
      <c r="B140" s="9"/>
      <c r="C140" s="9"/>
      <c r="D140" s="9"/>
      <c r="E140" s="9"/>
      <c r="F140" s="9"/>
      <c r="G140" s="9"/>
      <c r="H140" s="9"/>
    </row>
    <row r="141">
      <c r="A141" s="10"/>
      <c r="B141" s="9"/>
      <c r="C141" s="9"/>
      <c r="D141" s="9"/>
      <c r="E141" s="9"/>
      <c r="F141" s="9"/>
      <c r="G141" s="9"/>
      <c r="H141" s="9"/>
    </row>
    <row r="142">
      <c r="A142" s="10"/>
      <c r="B142" s="9"/>
      <c r="C142" s="9"/>
      <c r="D142" s="9"/>
      <c r="E142" s="9"/>
      <c r="F142" s="9"/>
      <c r="G142" s="9"/>
      <c r="H142" s="9"/>
    </row>
    <row r="143">
      <c r="A143" s="10"/>
      <c r="B143" s="9"/>
      <c r="C143" s="9"/>
      <c r="D143" s="9"/>
      <c r="E143" s="9"/>
      <c r="F143" s="9"/>
      <c r="G143" s="9"/>
      <c r="H143" s="9"/>
    </row>
    <row r="144">
      <c r="A144" s="10"/>
      <c r="B144" s="9"/>
      <c r="C144" s="9"/>
      <c r="D144" s="9"/>
      <c r="E144" s="9"/>
      <c r="F144" s="9"/>
      <c r="G144" s="9"/>
      <c r="H144" s="9"/>
    </row>
    <row r="145">
      <c r="A145" s="10"/>
      <c r="B145" s="9"/>
      <c r="C145" s="9"/>
      <c r="D145" s="9"/>
      <c r="E145" s="9"/>
      <c r="F145" s="9"/>
      <c r="G145" s="9"/>
      <c r="H145" s="9"/>
    </row>
    <row r="146">
      <c r="A146" s="10"/>
      <c r="B146" s="9"/>
      <c r="C146" s="9"/>
      <c r="D146" s="9"/>
      <c r="E146" s="9"/>
      <c r="F146" s="9"/>
      <c r="G146" s="9"/>
      <c r="H146" s="9"/>
    </row>
    <row r="147">
      <c r="A147" s="10"/>
      <c r="B147" s="9"/>
      <c r="C147" s="9"/>
      <c r="D147" s="9"/>
      <c r="E147" s="9"/>
      <c r="F147" s="9"/>
      <c r="G147" s="9"/>
      <c r="H147" s="9"/>
    </row>
    <row r="148">
      <c r="A148" s="10"/>
      <c r="B148" s="9"/>
      <c r="C148" s="9"/>
      <c r="D148" s="9"/>
      <c r="E148" s="9"/>
      <c r="F148" s="9"/>
      <c r="G148" s="9"/>
      <c r="H148" s="9"/>
    </row>
    <row r="149">
      <c r="A149" s="10"/>
      <c r="B149" s="9"/>
      <c r="C149" s="9"/>
      <c r="D149" s="9"/>
      <c r="E149" s="9"/>
      <c r="F149" s="9"/>
      <c r="G149" s="9"/>
      <c r="H149" s="9"/>
    </row>
    <row r="150">
      <c r="A150" s="10"/>
      <c r="B150" s="9"/>
      <c r="C150" s="9"/>
      <c r="D150" s="9"/>
      <c r="E150" s="9"/>
      <c r="F150" s="9"/>
      <c r="G150" s="9"/>
      <c r="H150" s="9"/>
    </row>
    <row r="151">
      <c r="A151" s="10"/>
      <c r="B151" s="9"/>
      <c r="C151" s="9"/>
      <c r="D151" s="9"/>
      <c r="E151" s="9"/>
      <c r="F151" s="9"/>
      <c r="G151" s="9"/>
      <c r="H151" s="9"/>
    </row>
    <row r="152">
      <c r="A152" s="10"/>
      <c r="B152" s="9"/>
      <c r="C152" s="9"/>
      <c r="D152" s="9"/>
      <c r="E152" s="9"/>
      <c r="F152" s="9"/>
      <c r="G152" s="9"/>
      <c r="H152" s="9"/>
    </row>
    <row r="153">
      <c r="A153" s="10"/>
      <c r="B153" s="9"/>
      <c r="C153" s="9"/>
      <c r="D153" s="9"/>
      <c r="E153" s="9"/>
      <c r="F153" s="9"/>
      <c r="G153" s="9"/>
      <c r="H153" s="9"/>
    </row>
    <row r="154">
      <c r="A154" s="10"/>
      <c r="B154" s="9"/>
      <c r="C154" s="9"/>
      <c r="D154" s="9"/>
      <c r="E154" s="9"/>
      <c r="F154" s="9"/>
      <c r="G154" s="9"/>
      <c r="H154" s="9"/>
    </row>
    <row r="155">
      <c r="A155" s="10"/>
      <c r="B155" s="9"/>
      <c r="C155" s="9"/>
      <c r="D155" s="9"/>
      <c r="E155" s="9"/>
      <c r="F155" s="9"/>
      <c r="G155" s="9"/>
      <c r="H155" s="9"/>
    </row>
    <row r="156">
      <c r="A156" s="10"/>
      <c r="B156" s="9"/>
      <c r="C156" s="9"/>
      <c r="D156" s="9"/>
      <c r="E156" s="9"/>
      <c r="F156" s="9"/>
      <c r="G156" s="9"/>
      <c r="H156" s="9"/>
    </row>
    <row r="157">
      <c r="A157" s="10"/>
      <c r="B157" s="9"/>
      <c r="C157" s="9"/>
      <c r="D157" s="9"/>
      <c r="E157" s="9"/>
      <c r="F157" s="9"/>
      <c r="G157" s="9"/>
      <c r="H157" s="9"/>
    </row>
    <row r="158">
      <c r="A158" s="10"/>
      <c r="B158" s="9"/>
      <c r="C158" s="9"/>
      <c r="D158" s="9"/>
      <c r="E158" s="9"/>
      <c r="F158" s="9"/>
      <c r="G158" s="9"/>
      <c r="H158" s="9"/>
    </row>
    <row r="159">
      <c r="A159" s="10"/>
      <c r="B159" s="9"/>
      <c r="C159" s="9"/>
      <c r="D159" s="9"/>
      <c r="E159" s="9"/>
      <c r="F159" s="9"/>
      <c r="G159" s="9"/>
      <c r="H159" s="9"/>
    </row>
    <row r="160">
      <c r="A160" s="10"/>
      <c r="B160" s="9"/>
      <c r="C160" s="9"/>
      <c r="D160" s="9"/>
      <c r="E160" s="9"/>
      <c r="F160" s="9"/>
      <c r="G160" s="9"/>
      <c r="H160" s="9"/>
    </row>
    <row r="161">
      <c r="A161" s="10"/>
      <c r="B161" s="9"/>
      <c r="C161" s="9"/>
      <c r="D161" s="9"/>
      <c r="E161" s="9"/>
      <c r="F161" s="9"/>
      <c r="G161" s="9"/>
      <c r="H161" s="9"/>
    </row>
    <row r="162">
      <c r="A162" s="10"/>
      <c r="B162" s="9"/>
      <c r="C162" s="9"/>
      <c r="D162" s="9"/>
      <c r="E162" s="9"/>
      <c r="F162" s="9"/>
      <c r="G162" s="9"/>
      <c r="H162" s="9"/>
    </row>
    <row r="163">
      <c r="A163" s="10"/>
      <c r="B163" s="9"/>
      <c r="C163" s="9"/>
      <c r="D163" s="9"/>
      <c r="E163" s="9"/>
      <c r="F163" s="9"/>
      <c r="G163" s="9"/>
      <c r="H163" s="9"/>
    </row>
    <row r="164">
      <c r="A164" s="10"/>
      <c r="B164" s="9"/>
      <c r="C164" s="9"/>
      <c r="D164" s="9"/>
      <c r="E164" s="9"/>
      <c r="F164" s="9"/>
      <c r="G164" s="9"/>
      <c r="H164" s="9"/>
    </row>
    <row r="165">
      <c r="A165" s="10"/>
      <c r="B165" s="9"/>
      <c r="C165" s="9"/>
      <c r="D165" s="9"/>
      <c r="E165" s="9"/>
      <c r="F165" s="9"/>
      <c r="G165" s="9"/>
      <c r="H165" s="9"/>
    </row>
    <row r="166">
      <c r="A166" s="10"/>
      <c r="B166" s="9"/>
      <c r="C166" s="9"/>
      <c r="D166" s="9"/>
      <c r="E166" s="9"/>
      <c r="F166" s="9"/>
      <c r="G166" s="9"/>
      <c r="H166" s="9"/>
    </row>
    <row r="167">
      <c r="A167" s="10"/>
      <c r="B167" s="9"/>
      <c r="C167" s="9"/>
      <c r="D167" s="9"/>
      <c r="E167" s="9"/>
      <c r="F167" s="9"/>
      <c r="G167" s="9"/>
      <c r="H167" s="9"/>
    </row>
    <row r="168">
      <c r="A168" s="10"/>
      <c r="B168" s="9"/>
      <c r="C168" s="9"/>
      <c r="D168" s="9"/>
      <c r="E168" s="9"/>
      <c r="F168" s="9"/>
      <c r="G168" s="9"/>
      <c r="H168" s="9"/>
    </row>
    <row r="169">
      <c r="A169" s="10"/>
      <c r="B169" s="9"/>
      <c r="C169" s="9"/>
      <c r="D169" s="9"/>
      <c r="E169" s="9"/>
      <c r="F169" s="9"/>
      <c r="G169" s="9"/>
      <c r="H169" s="9"/>
    </row>
    <row r="170">
      <c r="A170" s="10"/>
      <c r="B170" s="9"/>
      <c r="C170" s="9"/>
      <c r="D170" s="9"/>
      <c r="E170" s="9"/>
      <c r="F170" s="9"/>
      <c r="G170" s="9"/>
      <c r="H170" s="9"/>
    </row>
    <row r="171">
      <c r="A171" s="10"/>
      <c r="B171" s="9"/>
      <c r="C171" s="9"/>
      <c r="D171" s="9"/>
      <c r="E171" s="9"/>
      <c r="F171" s="9"/>
      <c r="G171" s="9"/>
      <c r="H171" s="9"/>
    </row>
    <row r="172">
      <c r="A172" s="10"/>
      <c r="B172" s="9"/>
      <c r="C172" s="9"/>
      <c r="D172" s="9"/>
      <c r="E172" s="9"/>
      <c r="F172" s="9"/>
      <c r="G172" s="9"/>
      <c r="H172" s="9"/>
    </row>
    <row r="173">
      <c r="A173" s="10"/>
      <c r="B173" s="9"/>
      <c r="C173" s="9"/>
      <c r="D173" s="9"/>
      <c r="E173" s="9"/>
      <c r="F173" s="9"/>
      <c r="G173" s="9"/>
      <c r="H173" s="9"/>
    </row>
    <row r="174">
      <c r="A174" s="10"/>
      <c r="B174" s="9"/>
      <c r="C174" s="9"/>
      <c r="D174" s="9"/>
      <c r="E174" s="9"/>
      <c r="F174" s="9"/>
      <c r="G174" s="9"/>
      <c r="H174" s="9"/>
    </row>
    <row r="175">
      <c r="A175" s="10"/>
      <c r="B175" s="9"/>
      <c r="C175" s="9"/>
      <c r="D175" s="9"/>
      <c r="E175" s="9"/>
      <c r="F175" s="9"/>
      <c r="G175" s="9"/>
      <c r="H175" s="9"/>
    </row>
    <row r="176">
      <c r="A176" s="10"/>
      <c r="B176" s="9"/>
      <c r="C176" s="9"/>
      <c r="D176" s="9"/>
      <c r="E176" s="9"/>
      <c r="F176" s="9"/>
      <c r="G176" s="9"/>
      <c r="H176" s="9"/>
    </row>
    <row r="177">
      <c r="A177" s="10"/>
      <c r="B177" s="9"/>
      <c r="C177" s="9"/>
      <c r="D177" s="9"/>
      <c r="E177" s="9"/>
      <c r="F177" s="9"/>
      <c r="G177" s="9"/>
      <c r="H177" s="9"/>
    </row>
    <row r="178">
      <c r="A178" s="10"/>
      <c r="B178" s="9"/>
      <c r="C178" s="9"/>
      <c r="D178" s="9"/>
      <c r="E178" s="9"/>
      <c r="F178" s="9"/>
      <c r="G178" s="9"/>
      <c r="H178" s="9"/>
    </row>
    <row r="179">
      <c r="A179" s="10"/>
      <c r="B179" s="9"/>
      <c r="C179" s="9"/>
      <c r="D179" s="9"/>
      <c r="E179" s="9"/>
      <c r="F179" s="9"/>
      <c r="G179" s="9"/>
      <c r="H179" s="9"/>
    </row>
    <row r="180">
      <c r="A180" s="10"/>
      <c r="B180" s="9"/>
      <c r="C180" s="9"/>
      <c r="D180" s="9"/>
      <c r="E180" s="9"/>
      <c r="F180" s="9"/>
      <c r="G180" s="9"/>
      <c r="H180" s="9"/>
    </row>
    <row r="181">
      <c r="A181" s="10"/>
      <c r="B181" s="9"/>
      <c r="C181" s="9"/>
      <c r="D181" s="9"/>
      <c r="E181" s="9"/>
      <c r="F181" s="9"/>
      <c r="G181" s="9"/>
      <c r="H181" s="9"/>
    </row>
    <row r="182">
      <c r="A182" s="10"/>
      <c r="B182" s="9"/>
      <c r="C182" s="9"/>
      <c r="D182" s="9"/>
      <c r="E182" s="9"/>
      <c r="F182" s="9"/>
      <c r="G182" s="9"/>
      <c r="H182" s="9"/>
    </row>
    <row r="183">
      <c r="A183" s="10"/>
      <c r="B183" s="9"/>
      <c r="C183" s="9"/>
      <c r="D183" s="9"/>
      <c r="E183" s="9"/>
      <c r="F183" s="9"/>
      <c r="G183" s="9"/>
      <c r="H183" s="9"/>
    </row>
    <row r="184">
      <c r="A184" s="10"/>
      <c r="B184" s="9"/>
      <c r="C184" s="9"/>
      <c r="D184" s="9"/>
      <c r="E184" s="9"/>
      <c r="F184" s="9"/>
      <c r="G184" s="9"/>
      <c r="H184" s="9"/>
    </row>
    <row r="185">
      <c r="A185" s="10"/>
      <c r="B185" s="9"/>
      <c r="C185" s="9"/>
      <c r="D185" s="9"/>
      <c r="E185" s="9"/>
      <c r="F185" s="9"/>
      <c r="G185" s="9"/>
      <c r="H185" s="9"/>
    </row>
    <row r="186">
      <c r="A186" s="10"/>
      <c r="B186" s="9"/>
      <c r="C186" s="9"/>
      <c r="D186" s="9"/>
      <c r="E186" s="9"/>
      <c r="F186" s="9"/>
      <c r="G186" s="9"/>
      <c r="H186" s="9"/>
    </row>
    <row r="187">
      <c r="A187" s="10"/>
      <c r="B187" s="9"/>
      <c r="C187" s="9"/>
      <c r="D187" s="9"/>
      <c r="E187" s="9"/>
      <c r="F187" s="9"/>
      <c r="G187" s="9"/>
      <c r="H187" s="9"/>
    </row>
    <row r="188">
      <c r="A188" s="10"/>
      <c r="B188" s="9"/>
      <c r="C188" s="9"/>
      <c r="D188" s="9"/>
      <c r="E188" s="9"/>
      <c r="F188" s="9"/>
      <c r="G188" s="9"/>
      <c r="H188" s="9"/>
    </row>
    <row r="189">
      <c r="A189" s="10"/>
      <c r="B189" s="9"/>
      <c r="C189" s="9"/>
      <c r="D189" s="9"/>
      <c r="E189" s="9"/>
      <c r="F189" s="9"/>
      <c r="G189" s="9"/>
      <c r="H189" s="9"/>
    </row>
    <row r="190">
      <c r="A190" s="10"/>
      <c r="B190" s="9"/>
      <c r="C190" s="9"/>
      <c r="D190" s="9"/>
      <c r="E190" s="9"/>
      <c r="F190" s="9"/>
      <c r="G190" s="9"/>
      <c r="H190" s="9"/>
    </row>
    <row r="191">
      <c r="A191" s="10"/>
      <c r="B191" s="9"/>
      <c r="C191" s="9"/>
      <c r="D191" s="9"/>
      <c r="E191" s="9"/>
      <c r="F191" s="9"/>
      <c r="G191" s="9"/>
      <c r="H191" s="9"/>
    </row>
    <row r="192">
      <c r="A192" s="10"/>
      <c r="B192" s="9"/>
      <c r="C192" s="9"/>
      <c r="D192" s="9"/>
      <c r="E192" s="9"/>
      <c r="F192" s="9"/>
      <c r="G192" s="9"/>
      <c r="H192" s="9"/>
    </row>
    <row r="193">
      <c r="A193" s="10"/>
      <c r="B193" s="9"/>
      <c r="C193" s="9"/>
      <c r="D193" s="9"/>
      <c r="E193" s="9"/>
      <c r="F193" s="9"/>
      <c r="G193" s="9"/>
      <c r="H193" s="9"/>
    </row>
    <row r="194">
      <c r="A194" s="10"/>
      <c r="B194" s="9"/>
      <c r="C194" s="9"/>
      <c r="D194" s="9"/>
      <c r="E194" s="9"/>
      <c r="F194" s="9"/>
      <c r="G194" s="9"/>
      <c r="H194" s="9"/>
    </row>
    <row r="195">
      <c r="A195" s="10"/>
      <c r="B195" s="9"/>
      <c r="C195" s="9"/>
      <c r="D195" s="9"/>
      <c r="E195" s="9"/>
      <c r="F195" s="9"/>
      <c r="G195" s="9"/>
      <c r="H195" s="9"/>
    </row>
    <row r="196">
      <c r="A196" s="10"/>
      <c r="B196" s="9"/>
      <c r="C196" s="9"/>
      <c r="D196" s="9"/>
      <c r="E196" s="9"/>
      <c r="F196" s="9"/>
      <c r="G196" s="9"/>
      <c r="H196" s="9"/>
    </row>
    <row r="197">
      <c r="A197" s="10"/>
      <c r="B197" s="9"/>
      <c r="C197" s="9"/>
      <c r="D197" s="9"/>
      <c r="E197" s="9"/>
      <c r="F197" s="9"/>
      <c r="G197" s="9"/>
      <c r="H197" s="9"/>
    </row>
    <row r="198">
      <c r="A198" s="10"/>
      <c r="B198" s="9"/>
      <c r="C198" s="9"/>
      <c r="D198" s="9"/>
      <c r="E198" s="9"/>
      <c r="F198" s="9"/>
      <c r="G198" s="9"/>
      <c r="H198" s="9"/>
    </row>
    <row r="199">
      <c r="A199" s="10"/>
      <c r="B199" s="9"/>
      <c r="C199" s="9"/>
      <c r="D199" s="9"/>
      <c r="E199" s="9"/>
      <c r="F199" s="9"/>
      <c r="G199" s="9"/>
      <c r="H199" s="9"/>
    </row>
    <row r="200">
      <c r="A200" s="10"/>
      <c r="B200" s="9"/>
      <c r="C200" s="9"/>
      <c r="D200" s="9"/>
      <c r="E200" s="9"/>
      <c r="F200" s="9"/>
      <c r="G200" s="9"/>
      <c r="H200" s="9"/>
    </row>
    <row r="201">
      <c r="A201" s="10"/>
      <c r="B201" s="9"/>
      <c r="C201" s="9"/>
      <c r="D201" s="9"/>
      <c r="E201" s="9"/>
      <c r="F201" s="9"/>
      <c r="G201" s="9"/>
      <c r="H201" s="9"/>
    </row>
    <row r="202">
      <c r="A202" s="10"/>
      <c r="B202" s="9"/>
      <c r="C202" s="9"/>
      <c r="D202" s="9"/>
      <c r="E202" s="9"/>
      <c r="F202" s="9"/>
      <c r="G202" s="9"/>
      <c r="H202" s="9"/>
    </row>
    <row r="203">
      <c r="A203" s="10"/>
      <c r="B203" s="9"/>
      <c r="C203" s="9"/>
      <c r="D203" s="9"/>
      <c r="E203" s="9"/>
      <c r="F203" s="9"/>
      <c r="G203" s="9"/>
      <c r="H203" s="9"/>
    </row>
    <row r="204">
      <c r="A204" s="10"/>
      <c r="B204" s="9"/>
      <c r="C204" s="9"/>
      <c r="D204" s="9"/>
      <c r="E204" s="9"/>
      <c r="F204" s="9"/>
      <c r="G204" s="9"/>
      <c r="H204" s="9"/>
    </row>
    <row r="205">
      <c r="A205" s="10"/>
      <c r="B205" s="9"/>
      <c r="C205" s="9"/>
      <c r="D205" s="9"/>
      <c r="E205" s="9"/>
      <c r="F205" s="9"/>
      <c r="G205" s="9"/>
      <c r="H205" s="9"/>
    </row>
    <row r="206">
      <c r="A206" s="10"/>
      <c r="B206" s="9"/>
      <c r="C206" s="9"/>
      <c r="D206" s="9"/>
      <c r="E206" s="9"/>
      <c r="F206" s="9"/>
      <c r="G206" s="9"/>
      <c r="H206" s="9"/>
    </row>
    <row r="207">
      <c r="A207" s="10"/>
      <c r="B207" s="9"/>
      <c r="C207" s="9"/>
      <c r="D207" s="9"/>
      <c r="E207" s="9"/>
      <c r="F207" s="9"/>
      <c r="G207" s="9"/>
      <c r="H207" s="9"/>
    </row>
    <row r="208">
      <c r="A208" s="10"/>
      <c r="B208" s="9"/>
      <c r="C208" s="9"/>
      <c r="D208" s="9"/>
      <c r="E208" s="9"/>
      <c r="F208" s="9"/>
      <c r="G208" s="9"/>
      <c r="H208" s="9"/>
    </row>
    <row r="209">
      <c r="A209" s="10"/>
      <c r="B209" s="9"/>
      <c r="C209" s="9"/>
      <c r="D209" s="9"/>
      <c r="E209" s="9"/>
      <c r="F209" s="9"/>
      <c r="G209" s="9"/>
      <c r="H209" s="9"/>
    </row>
    <row r="210">
      <c r="A210" s="10"/>
      <c r="B210" s="9"/>
      <c r="C210" s="9"/>
      <c r="D210" s="9"/>
      <c r="E210" s="9"/>
      <c r="F210" s="9"/>
      <c r="G210" s="9"/>
      <c r="H210" s="9"/>
    </row>
    <row r="211">
      <c r="A211" s="10"/>
      <c r="B211" s="9"/>
      <c r="C211" s="9"/>
      <c r="D211" s="9"/>
      <c r="E211" s="9"/>
      <c r="F211" s="9"/>
      <c r="G211" s="9"/>
      <c r="H211" s="9"/>
    </row>
    <row r="212">
      <c r="A212" s="10"/>
      <c r="B212" s="9"/>
      <c r="C212" s="9"/>
      <c r="D212" s="9"/>
      <c r="E212" s="9"/>
      <c r="F212" s="9"/>
      <c r="G212" s="9"/>
      <c r="H212" s="9"/>
    </row>
    <row r="213">
      <c r="A213" s="10"/>
      <c r="B213" s="9"/>
      <c r="C213" s="9"/>
      <c r="D213" s="9"/>
      <c r="E213" s="9"/>
      <c r="F213" s="9"/>
      <c r="G213" s="9"/>
      <c r="H213" s="9"/>
    </row>
    <row r="214">
      <c r="A214" s="10"/>
      <c r="B214" s="9"/>
      <c r="C214" s="9"/>
      <c r="D214" s="9"/>
      <c r="E214" s="9"/>
      <c r="F214" s="9"/>
      <c r="G214" s="9"/>
      <c r="H214" s="9"/>
    </row>
    <row r="215">
      <c r="A215" s="10"/>
      <c r="B215" s="9"/>
      <c r="C215" s="9"/>
      <c r="D215" s="9"/>
      <c r="E215" s="9"/>
      <c r="F215" s="9"/>
      <c r="G215" s="9"/>
      <c r="H215" s="9"/>
    </row>
    <row r="216">
      <c r="A216" s="10"/>
      <c r="B216" s="9"/>
      <c r="C216" s="9"/>
      <c r="D216" s="9"/>
      <c r="E216" s="9"/>
      <c r="F216" s="9"/>
      <c r="G216" s="9"/>
      <c r="H216" s="9"/>
    </row>
    <row r="217">
      <c r="A217" s="9"/>
      <c r="B217" s="9"/>
      <c r="C217" s="9"/>
      <c r="D217" s="9"/>
      <c r="E217" s="9"/>
      <c r="F217" s="9"/>
      <c r="G217" s="9"/>
      <c r="H217" s="9"/>
    </row>
    <row r="218">
      <c r="A218" s="9"/>
      <c r="B218" s="9"/>
      <c r="C218" s="9"/>
      <c r="D218" s="9"/>
      <c r="E218" s="9"/>
      <c r="F218" s="9"/>
      <c r="G218" s="9"/>
      <c r="H218" s="9"/>
    </row>
    <row r="219">
      <c r="A219" s="9"/>
      <c r="B219" s="9"/>
      <c r="C219" s="9"/>
      <c r="D219" s="9"/>
      <c r="E219" s="9"/>
      <c r="F219" s="9"/>
      <c r="G219" s="9"/>
      <c r="H219" s="9"/>
    </row>
    <row r="220">
      <c r="A220" s="9"/>
      <c r="B220" s="9"/>
      <c r="C220" s="9"/>
      <c r="D220" s="9"/>
      <c r="E220" s="9"/>
      <c r="F220" s="9"/>
      <c r="G220" s="9"/>
      <c r="H220" s="9"/>
    </row>
    <row r="221">
      <c r="A221" s="9"/>
      <c r="B221" s="9"/>
      <c r="C221" s="9"/>
      <c r="D221" s="9"/>
      <c r="E221" s="9"/>
      <c r="F221" s="9"/>
      <c r="G221" s="9"/>
      <c r="H221" s="9"/>
    </row>
    <row r="222">
      <c r="A222" s="9"/>
      <c r="B222" s="9"/>
      <c r="C222" s="9"/>
      <c r="D222" s="9"/>
      <c r="E222" s="9"/>
      <c r="F222" s="9"/>
      <c r="G222" s="9"/>
      <c r="H222" s="9"/>
    </row>
    <row r="223">
      <c r="A223" s="9"/>
      <c r="B223" s="9"/>
      <c r="C223" s="9"/>
      <c r="D223" s="9"/>
      <c r="E223" s="9"/>
      <c r="F223" s="9"/>
      <c r="G223" s="9"/>
      <c r="H223" s="9"/>
    </row>
    <row r="224">
      <c r="A224" s="9"/>
      <c r="B224" s="9"/>
      <c r="C224" s="9"/>
      <c r="D224" s="9"/>
      <c r="E224" s="9"/>
      <c r="F224" s="9"/>
      <c r="G224" s="9"/>
      <c r="H224" s="9"/>
    </row>
    <row r="225">
      <c r="A225" s="9"/>
      <c r="B225" s="9"/>
      <c r="C225" s="9"/>
      <c r="D225" s="9"/>
      <c r="E225" s="9"/>
      <c r="F225" s="9"/>
      <c r="G225" s="9"/>
      <c r="H225" s="9"/>
    </row>
    <row r="226">
      <c r="A226" s="9"/>
      <c r="B226" s="9"/>
      <c r="C226" s="9"/>
      <c r="D226" s="9"/>
      <c r="E226" s="9"/>
      <c r="F226" s="9"/>
      <c r="G226" s="9"/>
      <c r="H226" s="9"/>
    </row>
    <row r="227">
      <c r="A227" s="9"/>
      <c r="B227" s="9"/>
      <c r="C227" s="9"/>
      <c r="D227" s="9"/>
      <c r="E227" s="9"/>
      <c r="F227" s="9"/>
      <c r="G227" s="9"/>
      <c r="H227" s="9"/>
    </row>
    <row r="228">
      <c r="A228" s="9"/>
      <c r="B228" s="9"/>
      <c r="C228" s="9"/>
      <c r="D228" s="9"/>
      <c r="E228" s="9"/>
      <c r="F228" s="9"/>
      <c r="G228" s="9"/>
      <c r="H228" s="9"/>
    </row>
    <row r="229">
      <c r="A229" s="9"/>
      <c r="B229" s="9"/>
      <c r="C229" s="9"/>
      <c r="D229" s="9"/>
      <c r="E229" s="9"/>
      <c r="F229" s="9"/>
      <c r="G229" s="9"/>
      <c r="H229" s="9"/>
    </row>
    <row r="230">
      <c r="A230" s="9"/>
      <c r="B230" s="9"/>
      <c r="C230" s="9"/>
      <c r="D230" s="9"/>
      <c r="E230" s="9"/>
      <c r="F230" s="9"/>
      <c r="G230" s="9"/>
      <c r="H230" s="9"/>
    </row>
    <row r="231">
      <c r="A231" s="9"/>
      <c r="B231" s="9"/>
      <c r="C231" s="9"/>
      <c r="D231" s="9"/>
      <c r="E231" s="9"/>
      <c r="F231" s="9"/>
      <c r="G231" s="9"/>
      <c r="H231" s="9"/>
    </row>
    <row r="232">
      <c r="A232" s="9"/>
      <c r="B232" s="9"/>
      <c r="C232" s="9"/>
      <c r="D232" s="9"/>
      <c r="E232" s="9"/>
      <c r="F232" s="9"/>
      <c r="G232" s="9"/>
      <c r="H232" s="9"/>
    </row>
    <row r="233">
      <c r="A233" s="9"/>
      <c r="B233" s="9"/>
      <c r="C233" s="9"/>
      <c r="D233" s="9"/>
      <c r="E233" s="9"/>
      <c r="F233" s="9"/>
      <c r="G233" s="9"/>
      <c r="H233" s="9"/>
    </row>
    <row r="234">
      <c r="A234" s="9"/>
      <c r="B234" s="9"/>
      <c r="C234" s="9"/>
      <c r="D234" s="9"/>
      <c r="E234" s="9"/>
      <c r="F234" s="9"/>
      <c r="G234" s="9"/>
      <c r="H234" s="9"/>
    </row>
    <row r="235">
      <c r="A235" s="9"/>
      <c r="B235" s="9"/>
      <c r="C235" s="9"/>
      <c r="D235" s="9"/>
      <c r="E235" s="9"/>
      <c r="F235" s="9"/>
      <c r="G235" s="9"/>
      <c r="H235" s="9"/>
    </row>
    <row r="236">
      <c r="A236" s="9"/>
      <c r="B236" s="9"/>
      <c r="C236" s="9"/>
      <c r="D236" s="9"/>
      <c r="E236" s="9"/>
      <c r="F236" s="9"/>
      <c r="G236" s="9"/>
      <c r="H236" s="9"/>
    </row>
    <row r="237">
      <c r="A237" s="9"/>
      <c r="B237" s="9"/>
      <c r="C237" s="9"/>
      <c r="D237" s="9"/>
      <c r="E237" s="9"/>
      <c r="F237" s="9"/>
      <c r="G237" s="9"/>
      <c r="H237" s="9"/>
    </row>
    <row r="238">
      <c r="A238" s="9"/>
      <c r="B238" s="9"/>
      <c r="C238" s="9"/>
      <c r="D238" s="9"/>
      <c r="E238" s="9"/>
      <c r="F238" s="9"/>
      <c r="G238" s="9"/>
      <c r="H238" s="9"/>
    </row>
    <row r="239">
      <c r="A239" s="9"/>
      <c r="B239" s="9"/>
      <c r="C239" s="9"/>
      <c r="D239" s="9"/>
      <c r="E239" s="9"/>
      <c r="F239" s="9"/>
      <c r="G239" s="9"/>
      <c r="H239" s="9"/>
    </row>
    <row r="240">
      <c r="A240" s="9"/>
      <c r="B240" s="9"/>
      <c r="C240" s="9"/>
      <c r="D240" s="9"/>
      <c r="E240" s="9"/>
      <c r="F240" s="9"/>
      <c r="G240" s="9"/>
      <c r="H240" s="9"/>
    </row>
    <row r="241">
      <c r="A241" s="9"/>
      <c r="B241" s="9"/>
      <c r="C241" s="9"/>
      <c r="D241" s="9"/>
      <c r="E241" s="9"/>
      <c r="F241" s="9"/>
      <c r="G241" s="9"/>
      <c r="H241" s="9"/>
    </row>
    <row r="242">
      <c r="A242" s="9"/>
      <c r="B242" s="9"/>
      <c r="C242" s="9"/>
      <c r="D242" s="9"/>
      <c r="E242" s="9"/>
      <c r="F242" s="9"/>
      <c r="G242" s="9"/>
      <c r="H242" s="9"/>
    </row>
    <row r="243">
      <c r="A243" s="9"/>
      <c r="B243" s="9"/>
      <c r="C243" s="9"/>
      <c r="D243" s="9"/>
      <c r="E243" s="9"/>
      <c r="F243" s="9"/>
      <c r="G243" s="9"/>
      <c r="H243" s="9"/>
    </row>
    <row r="244">
      <c r="A244" s="9"/>
      <c r="B244" s="9"/>
      <c r="C244" s="9"/>
      <c r="D244" s="9"/>
      <c r="E244" s="9"/>
      <c r="F244" s="9"/>
      <c r="G244" s="9"/>
      <c r="H244" s="9"/>
    </row>
    <row r="245">
      <c r="A245" s="9"/>
      <c r="B245" s="9"/>
      <c r="C245" s="9"/>
      <c r="D245" s="9"/>
      <c r="E245" s="9"/>
      <c r="F245" s="9"/>
      <c r="G245" s="9"/>
      <c r="H245" s="9"/>
    </row>
    <row r="246">
      <c r="A246" s="9"/>
      <c r="B246" s="9"/>
      <c r="C246" s="9"/>
      <c r="D246" s="9"/>
      <c r="E246" s="9"/>
      <c r="F246" s="9"/>
      <c r="G246" s="9"/>
      <c r="H246" s="9"/>
    </row>
    <row r="247">
      <c r="A247" s="9"/>
      <c r="B247" s="9"/>
      <c r="C247" s="9"/>
      <c r="D247" s="9"/>
      <c r="E247" s="9"/>
      <c r="F247" s="9"/>
      <c r="G247" s="9"/>
      <c r="H247" s="9"/>
    </row>
    <row r="248">
      <c r="A248" s="9"/>
      <c r="B248" s="9"/>
      <c r="C248" s="9"/>
      <c r="D248" s="9"/>
      <c r="E248" s="9"/>
      <c r="F248" s="9"/>
      <c r="G248" s="9"/>
      <c r="H248" s="9"/>
    </row>
    <row r="249">
      <c r="A249" s="9"/>
      <c r="B249" s="9"/>
      <c r="C249" s="9"/>
      <c r="D249" s="9"/>
      <c r="E249" s="9"/>
      <c r="F249" s="9"/>
      <c r="G249" s="9"/>
      <c r="H249" s="9"/>
    </row>
    <row r="250">
      <c r="A250" s="9"/>
      <c r="B250" s="9"/>
      <c r="C250" s="9"/>
      <c r="D250" s="9"/>
      <c r="E250" s="9"/>
      <c r="F250" s="9"/>
      <c r="G250" s="9"/>
      <c r="H250" s="9"/>
    </row>
    <row r="251">
      <c r="A251" s="9"/>
      <c r="B251" s="9"/>
      <c r="C251" s="9"/>
      <c r="D251" s="9"/>
      <c r="E251" s="9"/>
      <c r="F251" s="9"/>
      <c r="G251" s="9"/>
      <c r="H251" s="9"/>
    </row>
    <row r="252">
      <c r="A252" s="9"/>
      <c r="B252" s="9"/>
      <c r="C252" s="9"/>
      <c r="D252" s="9"/>
      <c r="E252" s="9"/>
      <c r="F252" s="9"/>
      <c r="G252" s="9"/>
      <c r="H252" s="9"/>
    </row>
    <row r="253">
      <c r="A253" s="9"/>
      <c r="B253" s="9"/>
      <c r="C253" s="9"/>
      <c r="D253" s="9"/>
      <c r="E253" s="9"/>
      <c r="F253" s="9"/>
      <c r="G253" s="9"/>
      <c r="H253" s="9"/>
    </row>
    <row r="254">
      <c r="A254" s="9"/>
      <c r="B254" s="9"/>
      <c r="C254" s="9"/>
      <c r="D254" s="9"/>
      <c r="E254" s="9"/>
      <c r="F254" s="9"/>
      <c r="G254" s="9"/>
      <c r="H254" s="9"/>
    </row>
    <row r="255">
      <c r="A255" s="9"/>
      <c r="B255" s="9"/>
      <c r="C255" s="9"/>
      <c r="D255" s="9"/>
      <c r="E255" s="9"/>
      <c r="F255" s="9"/>
      <c r="G255" s="9"/>
      <c r="H255" s="9"/>
    </row>
    <row r="256">
      <c r="A256" s="9"/>
      <c r="B256" s="9"/>
      <c r="C256" s="9"/>
      <c r="D256" s="9"/>
      <c r="E256" s="9"/>
      <c r="F256" s="9"/>
      <c r="G256" s="9"/>
      <c r="H256" s="9"/>
    </row>
    <row r="257">
      <c r="A257" s="9"/>
      <c r="B257" s="9"/>
      <c r="C257" s="9"/>
      <c r="D257" s="9"/>
      <c r="E257" s="9"/>
      <c r="F257" s="9"/>
      <c r="G257" s="9"/>
      <c r="H257" s="9"/>
    </row>
    <row r="258">
      <c r="A258" s="9"/>
      <c r="B258" s="9"/>
      <c r="C258" s="9"/>
      <c r="D258" s="9"/>
      <c r="E258" s="9"/>
      <c r="F258" s="9"/>
      <c r="G258" s="9"/>
      <c r="H258" s="9"/>
    </row>
    <row r="259">
      <c r="A259" s="9"/>
      <c r="B259" s="9"/>
      <c r="C259" s="9"/>
      <c r="D259" s="9"/>
      <c r="E259" s="9"/>
      <c r="F259" s="9"/>
      <c r="G259" s="9"/>
      <c r="H259" s="9"/>
    </row>
    <row r="260">
      <c r="A260" s="9"/>
      <c r="B260" s="9"/>
      <c r="C260" s="9"/>
      <c r="D260" s="9"/>
      <c r="E260" s="9"/>
      <c r="F260" s="9"/>
      <c r="G260" s="9"/>
      <c r="H260" s="9"/>
    </row>
    <row r="261">
      <c r="A261" s="9"/>
      <c r="B261" s="9"/>
      <c r="C261" s="9"/>
      <c r="D261" s="9"/>
      <c r="E261" s="9"/>
      <c r="F261" s="9"/>
      <c r="G261" s="9"/>
      <c r="H261" s="9"/>
    </row>
    <row r="262">
      <c r="A262" s="9"/>
      <c r="B262" s="9"/>
      <c r="C262" s="9"/>
      <c r="D262" s="9"/>
      <c r="E262" s="9"/>
      <c r="F262" s="9"/>
      <c r="G262" s="9"/>
      <c r="H262" s="9"/>
    </row>
    <row r="263">
      <c r="A263" s="9"/>
      <c r="B263" s="9"/>
      <c r="C263" s="9"/>
      <c r="D263" s="9"/>
      <c r="E263" s="9"/>
      <c r="F263" s="9"/>
      <c r="G263" s="9"/>
      <c r="H263" s="9"/>
    </row>
    <row r="264">
      <c r="A264" s="9"/>
      <c r="B264" s="9"/>
      <c r="C264" s="9"/>
      <c r="D264" s="9"/>
      <c r="E264" s="9"/>
      <c r="F264" s="9"/>
      <c r="G264" s="9"/>
      <c r="H264" s="9"/>
    </row>
    <row r="265">
      <c r="A265" s="9"/>
      <c r="B265" s="9"/>
      <c r="C265" s="9"/>
      <c r="D265" s="9"/>
      <c r="E265" s="9"/>
      <c r="F265" s="9"/>
      <c r="G265" s="9"/>
      <c r="H265" s="9"/>
    </row>
    <row r="266">
      <c r="A266" s="9"/>
      <c r="B266" s="9"/>
      <c r="C266" s="9"/>
      <c r="D266" s="9"/>
      <c r="E266" s="9"/>
      <c r="F266" s="9"/>
      <c r="G266" s="9"/>
      <c r="H266" s="9"/>
    </row>
    <row r="267">
      <c r="A267" s="9"/>
      <c r="B267" s="9"/>
      <c r="C267" s="9"/>
      <c r="D267" s="9"/>
      <c r="E267" s="9"/>
      <c r="F267" s="9"/>
      <c r="G267" s="9"/>
      <c r="H267" s="9"/>
    </row>
    <row r="268">
      <c r="A268" s="9"/>
      <c r="B268" s="9"/>
      <c r="C268" s="9"/>
      <c r="D268" s="9"/>
      <c r="E268" s="9"/>
      <c r="F268" s="9"/>
      <c r="G268" s="9"/>
      <c r="H268" s="9"/>
    </row>
    <row r="269">
      <c r="A269" s="9"/>
      <c r="B269" s="9"/>
      <c r="C269" s="9"/>
      <c r="D269" s="9"/>
      <c r="E269" s="9"/>
      <c r="F269" s="9"/>
      <c r="G269" s="9"/>
      <c r="H269" s="9"/>
    </row>
    <row r="270">
      <c r="A270" s="9"/>
      <c r="B270" s="9"/>
      <c r="C270" s="9"/>
      <c r="D270" s="9"/>
      <c r="E270" s="9"/>
      <c r="F270" s="9"/>
      <c r="G270" s="9"/>
      <c r="H270" s="9"/>
    </row>
    <row r="271">
      <c r="A271" s="9"/>
      <c r="B271" s="9"/>
      <c r="C271" s="9"/>
      <c r="D271" s="9"/>
      <c r="E271" s="9"/>
      <c r="F271" s="9"/>
      <c r="G271" s="9"/>
      <c r="H271" s="9"/>
    </row>
    <row r="272">
      <c r="A272" s="9"/>
      <c r="B272" s="9"/>
      <c r="C272" s="9"/>
      <c r="D272" s="9"/>
      <c r="E272" s="9"/>
      <c r="F272" s="9"/>
      <c r="G272" s="9"/>
      <c r="H272" s="9"/>
    </row>
    <row r="273">
      <c r="A273" s="9"/>
      <c r="B273" s="9"/>
      <c r="C273" s="9"/>
      <c r="D273" s="9"/>
      <c r="E273" s="9"/>
      <c r="F273" s="9"/>
      <c r="G273" s="9"/>
      <c r="H273" s="9"/>
    </row>
    <row r="274">
      <c r="A274" s="9"/>
      <c r="B274" s="9"/>
      <c r="C274" s="9"/>
      <c r="D274" s="9"/>
      <c r="E274" s="9"/>
      <c r="F274" s="9"/>
      <c r="G274" s="9"/>
      <c r="H274" s="9"/>
    </row>
    <row r="275">
      <c r="A275" s="9"/>
      <c r="B275" s="9"/>
      <c r="C275" s="9"/>
      <c r="D275" s="9"/>
      <c r="E275" s="9"/>
      <c r="F275" s="9"/>
      <c r="G275" s="9"/>
      <c r="H275" s="9"/>
    </row>
    <row r="276">
      <c r="A276" s="9"/>
      <c r="B276" s="9"/>
      <c r="C276" s="9"/>
      <c r="D276" s="9"/>
      <c r="E276" s="9"/>
      <c r="F276" s="9"/>
      <c r="G276" s="9"/>
      <c r="H276" s="9"/>
    </row>
    <row r="277">
      <c r="A277" s="9"/>
      <c r="B277" s="9"/>
      <c r="C277" s="9"/>
      <c r="D277" s="9"/>
      <c r="E277" s="9"/>
      <c r="F277" s="9"/>
      <c r="G277" s="9"/>
      <c r="H277" s="9"/>
    </row>
    <row r="278">
      <c r="A278" s="9"/>
      <c r="B278" s="9"/>
      <c r="C278" s="9"/>
      <c r="D278" s="9"/>
      <c r="E278" s="9"/>
      <c r="F278" s="9"/>
      <c r="G278" s="9"/>
      <c r="H278" s="9"/>
    </row>
    <row r="279">
      <c r="A279" s="9"/>
      <c r="B279" s="9"/>
      <c r="C279" s="9"/>
      <c r="D279" s="9"/>
      <c r="E279" s="9"/>
      <c r="F279" s="9"/>
      <c r="G279" s="9"/>
      <c r="H279" s="9"/>
    </row>
    <row r="280">
      <c r="A280" s="9"/>
      <c r="B280" s="9"/>
      <c r="C280" s="9"/>
      <c r="D280" s="9"/>
      <c r="E280" s="9"/>
      <c r="F280" s="9"/>
      <c r="G280" s="9"/>
      <c r="H280" s="9"/>
    </row>
    <row r="281">
      <c r="A281" s="9"/>
      <c r="B281" s="9"/>
      <c r="C281" s="9"/>
      <c r="D281" s="9"/>
      <c r="E281" s="9"/>
      <c r="F281" s="9"/>
      <c r="G281" s="9"/>
      <c r="H281" s="9"/>
    </row>
    <row r="282">
      <c r="A282" s="9"/>
      <c r="B282" s="9"/>
      <c r="C282" s="9"/>
      <c r="D282" s="9"/>
      <c r="E282" s="9"/>
      <c r="F282" s="9"/>
      <c r="G282" s="9"/>
      <c r="H282" s="9"/>
    </row>
    <row r="283">
      <c r="A283" s="9"/>
      <c r="B283" s="9"/>
      <c r="C283" s="9"/>
      <c r="D283" s="9"/>
      <c r="E283" s="9"/>
      <c r="F283" s="9"/>
      <c r="G283" s="9"/>
      <c r="H283" s="9"/>
    </row>
    <row r="284">
      <c r="A284" s="9"/>
      <c r="B284" s="9"/>
      <c r="C284" s="9"/>
      <c r="D284" s="9"/>
      <c r="E284" s="9"/>
      <c r="F284" s="9"/>
      <c r="G284" s="9"/>
      <c r="H284" s="9"/>
    </row>
    <row r="285">
      <c r="A285" s="9"/>
      <c r="B285" s="9"/>
      <c r="C285" s="9"/>
      <c r="D285" s="9"/>
      <c r="E285" s="9"/>
      <c r="F285" s="9"/>
      <c r="G285" s="9"/>
      <c r="H285" s="9"/>
    </row>
    <row r="286">
      <c r="A286" s="9"/>
      <c r="B286" s="9"/>
      <c r="C286" s="9"/>
      <c r="D286" s="9"/>
      <c r="E286" s="9"/>
      <c r="F286" s="9"/>
      <c r="G286" s="9"/>
      <c r="H286" s="9"/>
    </row>
    <row r="287">
      <c r="A287" s="9"/>
      <c r="B287" s="9"/>
      <c r="C287" s="9"/>
      <c r="D287" s="9"/>
      <c r="E287" s="9"/>
      <c r="F287" s="9"/>
      <c r="G287" s="9"/>
      <c r="H287" s="9"/>
    </row>
    <row r="288">
      <c r="A288" s="9"/>
      <c r="B288" s="9"/>
      <c r="C288" s="9"/>
      <c r="D288" s="9"/>
      <c r="E288" s="9"/>
      <c r="F288" s="9"/>
      <c r="G288" s="9"/>
      <c r="H288" s="9"/>
    </row>
    <row r="289">
      <c r="A289" s="9"/>
      <c r="B289" s="9"/>
      <c r="C289" s="9"/>
      <c r="D289" s="9"/>
      <c r="E289" s="9"/>
      <c r="F289" s="9"/>
      <c r="G289" s="9"/>
      <c r="H289" s="9"/>
    </row>
    <row r="290">
      <c r="A290" s="9"/>
      <c r="B290" s="9"/>
      <c r="C290" s="9"/>
      <c r="D290" s="9"/>
      <c r="E290" s="9"/>
      <c r="F290" s="9"/>
      <c r="G290" s="9"/>
      <c r="H290" s="9"/>
    </row>
    <row r="291">
      <c r="A291" s="9"/>
      <c r="B291" s="9"/>
      <c r="C291" s="9"/>
      <c r="D291" s="9"/>
      <c r="E291" s="9"/>
      <c r="F291" s="9"/>
      <c r="G291" s="9"/>
      <c r="H291" s="9"/>
    </row>
    <row r="292">
      <c r="A292" s="9"/>
      <c r="B292" s="9"/>
      <c r="C292" s="9"/>
      <c r="D292" s="9"/>
      <c r="E292" s="9"/>
      <c r="F292" s="9"/>
      <c r="G292" s="9"/>
      <c r="H292" s="9"/>
    </row>
    <row r="293">
      <c r="A293" s="9"/>
      <c r="B293" s="9"/>
      <c r="C293" s="9"/>
      <c r="D293" s="9"/>
      <c r="E293" s="9"/>
      <c r="F293" s="9"/>
      <c r="G293" s="9"/>
      <c r="H293" s="9"/>
    </row>
    <row r="294">
      <c r="A294" s="9"/>
      <c r="B294" s="9"/>
      <c r="C294" s="9"/>
      <c r="D294" s="9"/>
      <c r="E294" s="9"/>
      <c r="F294" s="9"/>
      <c r="G294" s="9"/>
      <c r="H294" s="9"/>
    </row>
    <row r="295">
      <c r="A295" s="9"/>
      <c r="B295" s="9"/>
      <c r="C295" s="9"/>
      <c r="D295" s="9"/>
      <c r="E295" s="9"/>
      <c r="F295" s="9"/>
      <c r="G295" s="9"/>
      <c r="H295" s="9"/>
    </row>
    <row r="296">
      <c r="A296" s="9"/>
      <c r="B296" s="9"/>
      <c r="C296" s="9"/>
      <c r="D296" s="9"/>
      <c r="E296" s="9"/>
      <c r="F296" s="9"/>
      <c r="G296" s="9"/>
      <c r="H296" s="9"/>
    </row>
    <row r="297">
      <c r="A297" s="9"/>
      <c r="B297" s="9"/>
      <c r="C297" s="9"/>
      <c r="D297" s="9"/>
      <c r="E297" s="9"/>
      <c r="F297" s="9"/>
      <c r="G297" s="9"/>
      <c r="H297" s="9"/>
    </row>
    <row r="298">
      <c r="A298" s="9"/>
      <c r="B298" s="9"/>
      <c r="C298" s="9"/>
      <c r="D298" s="9"/>
      <c r="E298" s="9"/>
      <c r="F298" s="9"/>
      <c r="G298" s="9"/>
      <c r="H298" s="9"/>
    </row>
    <row r="299">
      <c r="A299" s="9"/>
      <c r="B299" s="9"/>
      <c r="C299" s="9"/>
      <c r="D299" s="9"/>
      <c r="E299" s="9"/>
      <c r="F299" s="9"/>
      <c r="G299" s="9"/>
      <c r="H299" s="9"/>
    </row>
    <row r="300">
      <c r="A300" s="9"/>
      <c r="B300" s="9"/>
      <c r="C300" s="9"/>
      <c r="D300" s="9"/>
      <c r="E300" s="9"/>
      <c r="F300" s="9"/>
      <c r="G300" s="9"/>
      <c r="H300" s="9"/>
    </row>
    <row r="301">
      <c r="A301" s="9"/>
      <c r="B301" s="9"/>
      <c r="C301" s="9"/>
      <c r="D301" s="9"/>
      <c r="E301" s="9"/>
      <c r="F301" s="9"/>
      <c r="G301" s="9"/>
      <c r="H301" s="9"/>
    </row>
    <row r="302">
      <c r="A302" s="9"/>
      <c r="B302" s="9"/>
      <c r="C302" s="9"/>
      <c r="D302" s="9"/>
      <c r="E302" s="9"/>
      <c r="F302" s="9"/>
      <c r="G302" s="9"/>
      <c r="H302" s="9"/>
    </row>
    <row r="303">
      <c r="A303" s="9"/>
      <c r="B303" s="9"/>
      <c r="C303" s="9"/>
      <c r="D303" s="9"/>
      <c r="E303" s="9"/>
      <c r="F303" s="9"/>
      <c r="G303" s="9"/>
      <c r="H303" s="9"/>
    </row>
    <row r="304">
      <c r="A304" s="9"/>
      <c r="B304" s="9"/>
      <c r="C304" s="9"/>
      <c r="D304" s="9"/>
      <c r="E304" s="9"/>
      <c r="F304" s="9"/>
      <c r="G304" s="9"/>
      <c r="H304" s="9"/>
    </row>
    <row r="305">
      <c r="A305" s="9"/>
      <c r="B305" s="9"/>
      <c r="C305" s="9"/>
      <c r="D305" s="9"/>
      <c r="E305" s="9"/>
      <c r="F305" s="9"/>
      <c r="G305" s="9"/>
      <c r="H305" s="9"/>
    </row>
    <row r="306">
      <c r="A306" s="9"/>
      <c r="B306" s="9"/>
      <c r="C306" s="9"/>
      <c r="D306" s="9"/>
      <c r="E306" s="9"/>
      <c r="F306" s="9"/>
      <c r="G306" s="9"/>
      <c r="H306" s="9"/>
    </row>
    <row r="307">
      <c r="A307" s="9"/>
      <c r="B307" s="9"/>
      <c r="C307" s="9"/>
      <c r="D307" s="9"/>
      <c r="E307" s="9"/>
      <c r="F307" s="9"/>
      <c r="G307" s="9"/>
      <c r="H307" s="9"/>
    </row>
    <row r="308">
      <c r="A308" s="9"/>
      <c r="B308" s="9"/>
      <c r="C308" s="9"/>
      <c r="D308" s="9"/>
      <c r="E308" s="9"/>
      <c r="F308" s="9"/>
      <c r="G308" s="9"/>
      <c r="H308" s="9"/>
    </row>
    <row r="309">
      <c r="A309" s="9"/>
      <c r="B309" s="9"/>
      <c r="C309" s="9"/>
      <c r="D309" s="9"/>
      <c r="E309" s="9"/>
      <c r="F309" s="9"/>
      <c r="G309" s="9"/>
      <c r="H309" s="9"/>
    </row>
    <row r="310">
      <c r="A310" s="9"/>
      <c r="B310" s="9"/>
      <c r="C310" s="9"/>
      <c r="D310" s="9"/>
      <c r="E310" s="9"/>
      <c r="F310" s="9"/>
      <c r="G310" s="9"/>
      <c r="H310" s="9"/>
    </row>
    <row r="311">
      <c r="A311" s="9"/>
      <c r="B311" s="9"/>
      <c r="C311" s="9"/>
      <c r="D311" s="9"/>
      <c r="E311" s="9"/>
      <c r="F311" s="9"/>
      <c r="G311" s="9"/>
      <c r="H311" s="9"/>
    </row>
    <row r="312">
      <c r="A312" s="9"/>
      <c r="B312" s="9"/>
      <c r="C312" s="9"/>
      <c r="D312" s="9"/>
      <c r="E312" s="9"/>
      <c r="F312" s="9"/>
      <c r="G312" s="9"/>
      <c r="H312" s="9"/>
    </row>
    <row r="313">
      <c r="A313" s="9"/>
      <c r="B313" s="9"/>
      <c r="C313" s="9"/>
      <c r="D313" s="9"/>
      <c r="E313" s="9"/>
      <c r="F313" s="9"/>
      <c r="G313" s="9"/>
      <c r="H313" s="9"/>
    </row>
    <row r="314">
      <c r="A314" s="9"/>
      <c r="B314" s="9"/>
      <c r="C314" s="9"/>
      <c r="D314" s="9"/>
      <c r="E314" s="9"/>
      <c r="F314" s="9"/>
      <c r="G314" s="9"/>
      <c r="H314" s="9"/>
    </row>
    <row r="315">
      <c r="A315" s="9"/>
      <c r="B315" s="9"/>
      <c r="C315" s="9"/>
      <c r="D315" s="9"/>
      <c r="E315" s="9"/>
      <c r="F315" s="9"/>
      <c r="G315" s="9"/>
      <c r="H315" s="9"/>
    </row>
    <row r="316">
      <c r="A316" s="9"/>
      <c r="B316" s="9"/>
      <c r="C316" s="9"/>
      <c r="D316" s="9"/>
      <c r="E316" s="9"/>
      <c r="F316" s="9"/>
      <c r="G316" s="9"/>
      <c r="H316" s="9"/>
    </row>
    <row r="317">
      <c r="A317" s="9"/>
      <c r="B317" s="9"/>
      <c r="C317" s="9"/>
      <c r="D317" s="9"/>
      <c r="E317" s="9"/>
      <c r="F317" s="9"/>
      <c r="G317" s="9"/>
      <c r="H317" s="9"/>
    </row>
    <row r="318">
      <c r="A318" s="9"/>
      <c r="B318" s="9"/>
      <c r="C318" s="9"/>
      <c r="D318" s="9"/>
      <c r="E318" s="9"/>
      <c r="F318" s="9"/>
      <c r="G318" s="9"/>
      <c r="H318" s="9"/>
    </row>
    <row r="319">
      <c r="A319" s="9"/>
      <c r="B319" s="9"/>
      <c r="C319" s="9"/>
      <c r="D319" s="9"/>
      <c r="E319" s="9"/>
      <c r="F319" s="9"/>
      <c r="G319" s="9"/>
      <c r="H319" s="9"/>
    </row>
    <row r="320">
      <c r="A320" s="9"/>
      <c r="B320" s="9"/>
      <c r="C320" s="9"/>
      <c r="D320" s="9"/>
      <c r="E320" s="9"/>
      <c r="F320" s="9"/>
      <c r="G320" s="9"/>
      <c r="H320" s="9"/>
    </row>
    <row r="321">
      <c r="A321" s="9"/>
      <c r="B321" s="9"/>
      <c r="C321" s="9"/>
      <c r="D321" s="9"/>
      <c r="E321" s="9"/>
      <c r="F321" s="9"/>
      <c r="G321" s="9"/>
      <c r="H321" s="9"/>
    </row>
    <row r="322">
      <c r="A322" s="9"/>
      <c r="B322" s="9"/>
      <c r="C322" s="9"/>
      <c r="D322" s="9"/>
      <c r="E322" s="9"/>
      <c r="F322" s="9"/>
      <c r="G322" s="9"/>
      <c r="H322" s="9"/>
    </row>
    <row r="323">
      <c r="A323" s="9"/>
      <c r="B323" s="9"/>
      <c r="C323" s="9"/>
      <c r="D323" s="9"/>
      <c r="E323" s="9"/>
      <c r="F323" s="9"/>
      <c r="G323" s="9"/>
      <c r="H323" s="9"/>
    </row>
    <row r="324">
      <c r="A324" s="9"/>
      <c r="B324" s="9"/>
      <c r="C324" s="9"/>
      <c r="D324" s="9"/>
      <c r="E324" s="9"/>
      <c r="F324" s="9"/>
      <c r="G324" s="9"/>
      <c r="H324" s="9"/>
    </row>
    <row r="325">
      <c r="A325" s="9"/>
      <c r="B325" s="9"/>
      <c r="C325" s="9"/>
      <c r="D325" s="9"/>
      <c r="E325" s="9"/>
      <c r="F325" s="9"/>
      <c r="G325" s="9"/>
      <c r="H325" s="9"/>
    </row>
    <row r="326">
      <c r="A326" s="9"/>
      <c r="B326" s="9"/>
      <c r="C326" s="9"/>
      <c r="D326" s="9"/>
      <c r="E326" s="9"/>
      <c r="F326" s="9"/>
      <c r="G326" s="9"/>
      <c r="H326" s="9"/>
    </row>
    <row r="327">
      <c r="A327" s="9"/>
      <c r="B327" s="9"/>
      <c r="C327" s="9"/>
      <c r="D327" s="9"/>
      <c r="E327" s="9"/>
      <c r="F327" s="9"/>
      <c r="G327" s="9"/>
      <c r="H327" s="9"/>
    </row>
    <row r="328">
      <c r="A328" s="9"/>
      <c r="B328" s="9"/>
      <c r="C328" s="9"/>
      <c r="D328" s="9"/>
      <c r="E328" s="9"/>
      <c r="F328" s="9"/>
      <c r="G328" s="9"/>
      <c r="H328" s="9"/>
    </row>
    <row r="329">
      <c r="A329" s="9"/>
      <c r="B329" s="9"/>
      <c r="C329" s="9"/>
      <c r="D329" s="9"/>
      <c r="E329" s="9"/>
      <c r="F329" s="9"/>
      <c r="G329" s="9"/>
      <c r="H329" s="9"/>
    </row>
    <row r="330">
      <c r="A330" s="9"/>
      <c r="B330" s="9"/>
      <c r="C330" s="9"/>
      <c r="D330" s="9"/>
      <c r="E330" s="9"/>
      <c r="F330" s="9"/>
      <c r="G330" s="9"/>
      <c r="H330" s="9"/>
    </row>
    <row r="331">
      <c r="A331" s="9"/>
      <c r="B331" s="9"/>
      <c r="C331" s="9"/>
      <c r="D331" s="9"/>
      <c r="E331" s="9"/>
      <c r="F331" s="9"/>
      <c r="G331" s="9"/>
      <c r="H331" s="9"/>
    </row>
    <row r="332">
      <c r="A332" s="9"/>
      <c r="B332" s="9"/>
      <c r="C332" s="9"/>
      <c r="D332" s="9"/>
      <c r="E332" s="9"/>
      <c r="F332" s="9"/>
      <c r="G332" s="9"/>
      <c r="H332" s="9"/>
    </row>
    <row r="333">
      <c r="A333" s="9"/>
      <c r="B333" s="9"/>
      <c r="C333" s="9"/>
      <c r="D333" s="9"/>
      <c r="E333" s="9"/>
      <c r="F333" s="9"/>
      <c r="G333" s="9"/>
      <c r="H333" s="9"/>
    </row>
    <row r="334">
      <c r="A334" s="9"/>
      <c r="B334" s="9"/>
      <c r="C334" s="9"/>
      <c r="D334" s="9"/>
      <c r="E334" s="9"/>
      <c r="F334" s="9"/>
      <c r="G334" s="9"/>
      <c r="H334" s="9"/>
    </row>
    <row r="335">
      <c r="A335" s="9"/>
      <c r="B335" s="9"/>
      <c r="C335" s="9"/>
      <c r="D335" s="9"/>
      <c r="E335" s="9"/>
      <c r="F335" s="9"/>
      <c r="G335" s="9"/>
      <c r="H335" s="9"/>
    </row>
    <row r="336">
      <c r="A336" s="9"/>
      <c r="B336" s="9"/>
      <c r="C336" s="9"/>
      <c r="D336" s="9"/>
      <c r="E336" s="9"/>
      <c r="F336" s="9"/>
      <c r="G336" s="9"/>
      <c r="H336" s="9"/>
    </row>
    <row r="337">
      <c r="A337" s="9"/>
      <c r="B337" s="9"/>
      <c r="C337" s="9"/>
      <c r="D337" s="9"/>
      <c r="E337" s="9"/>
      <c r="F337" s="9"/>
      <c r="G337" s="9"/>
      <c r="H337" s="9"/>
    </row>
    <row r="338">
      <c r="A338" s="9"/>
      <c r="B338" s="9"/>
      <c r="C338" s="9"/>
      <c r="D338" s="9"/>
      <c r="E338" s="9"/>
      <c r="F338" s="9"/>
      <c r="G338" s="9"/>
      <c r="H338" s="9"/>
    </row>
    <row r="339">
      <c r="A339" s="9"/>
      <c r="B339" s="9"/>
      <c r="C339" s="9"/>
      <c r="D339" s="9"/>
      <c r="E339" s="9"/>
      <c r="F339" s="9"/>
      <c r="G339" s="9"/>
      <c r="H339" s="9"/>
    </row>
    <row r="340">
      <c r="A340" s="9"/>
      <c r="B340" s="9"/>
      <c r="C340" s="9"/>
      <c r="D340" s="9"/>
      <c r="E340" s="9"/>
      <c r="F340" s="9"/>
      <c r="G340" s="9"/>
      <c r="H340" s="9"/>
    </row>
    <row r="341">
      <c r="A341" s="9"/>
      <c r="B341" s="9"/>
      <c r="C341" s="9"/>
      <c r="D341" s="9"/>
      <c r="E341" s="9"/>
      <c r="F341" s="9"/>
      <c r="G341" s="9"/>
      <c r="H341" s="9"/>
    </row>
    <row r="342">
      <c r="A342" s="9"/>
      <c r="B342" s="9"/>
      <c r="C342" s="9"/>
      <c r="D342" s="9"/>
      <c r="E342" s="9"/>
      <c r="F342" s="9"/>
      <c r="G342" s="9"/>
      <c r="H342" s="9"/>
    </row>
    <row r="343">
      <c r="A343" s="9"/>
      <c r="B343" s="9"/>
      <c r="C343" s="9"/>
      <c r="D343" s="9"/>
      <c r="E343" s="9"/>
      <c r="F343" s="9"/>
      <c r="G343" s="9"/>
      <c r="H343" s="9"/>
    </row>
    <row r="344">
      <c r="A344" s="9"/>
      <c r="B344" s="9"/>
      <c r="C344" s="9"/>
      <c r="D344" s="9"/>
      <c r="E344" s="9"/>
      <c r="F344" s="9"/>
      <c r="G344" s="9"/>
      <c r="H344" s="9"/>
    </row>
    <row r="345">
      <c r="A345" s="9"/>
      <c r="B345" s="9"/>
      <c r="C345" s="9"/>
      <c r="D345" s="9"/>
      <c r="E345" s="9"/>
      <c r="F345" s="9"/>
      <c r="G345" s="9"/>
      <c r="H345" s="9"/>
    </row>
    <row r="346">
      <c r="A346" s="9"/>
      <c r="B346" s="9"/>
      <c r="C346" s="9"/>
      <c r="D346" s="9"/>
      <c r="E346" s="9"/>
      <c r="F346" s="9"/>
      <c r="G346" s="9"/>
      <c r="H346" s="9"/>
    </row>
    <row r="347">
      <c r="A347" s="9"/>
      <c r="B347" s="9"/>
      <c r="C347" s="9"/>
      <c r="D347" s="9"/>
      <c r="E347" s="9"/>
      <c r="F347" s="9"/>
      <c r="G347" s="9"/>
      <c r="H347" s="9"/>
    </row>
    <row r="348">
      <c r="A348" s="9"/>
      <c r="B348" s="9"/>
      <c r="C348" s="9"/>
      <c r="D348" s="9"/>
      <c r="E348" s="9"/>
      <c r="F348" s="9"/>
      <c r="G348" s="9"/>
      <c r="H348" s="9"/>
    </row>
    <row r="349">
      <c r="A349" s="9"/>
      <c r="B349" s="9"/>
      <c r="C349" s="9"/>
      <c r="D349" s="9"/>
      <c r="E349" s="9"/>
      <c r="F349" s="9"/>
      <c r="G349" s="9"/>
      <c r="H349" s="9"/>
    </row>
    <row r="350">
      <c r="A350" s="9"/>
      <c r="B350" s="9"/>
      <c r="C350" s="9"/>
      <c r="D350" s="9"/>
      <c r="E350" s="9"/>
      <c r="F350" s="9"/>
      <c r="G350" s="9"/>
      <c r="H350" s="9"/>
    </row>
    <row r="351">
      <c r="A351" s="9"/>
      <c r="B351" s="9"/>
      <c r="C351" s="9"/>
      <c r="D351" s="9"/>
      <c r="E351" s="9"/>
      <c r="F351" s="9"/>
      <c r="G351" s="9"/>
      <c r="H351" s="9"/>
    </row>
    <row r="352">
      <c r="A352" s="9"/>
      <c r="B352" s="9"/>
      <c r="C352" s="9"/>
      <c r="D352" s="9"/>
      <c r="E352" s="9"/>
      <c r="F352" s="9"/>
      <c r="G352" s="9"/>
      <c r="H352" s="9"/>
    </row>
    <row r="353">
      <c r="A353" s="9"/>
      <c r="B353" s="9"/>
      <c r="C353" s="9"/>
      <c r="D353" s="9"/>
      <c r="E353" s="9"/>
      <c r="F353" s="9"/>
      <c r="G353" s="9"/>
      <c r="H353" s="9"/>
    </row>
    <row r="354">
      <c r="A354" s="9"/>
      <c r="B354" s="9"/>
      <c r="C354" s="9"/>
      <c r="D354" s="9"/>
      <c r="E354" s="9"/>
      <c r="F354" s="9"/>
      <c r="G354" s="9"/>
      <c r="H354" s="9"/>
    </row>
    <row r="355">
      <c r="A355" s="9"/>
      <c r="B355" s="9"/>
      <c r="C355" s="9"/>
      <c r="D355" s="9"/>
      <c r="E355" s="9"/>
      <c r="F355" s="9"/>
      <c r="G355" s="9"/>
      <c r="H355" s="9"/>
    </row>
    <row r="356">
      <c r="A356" s="9"/>
      <c r="B356" s="9"/>
      <c r="C356" s="9"/>
      <c r="D356" s="9"/>
      <c r="E356" s="9"/>
      <c r="F356" s="9"/>
      <c r="G356" s="9"/>
      <c r="H356" s="9"/>
    </row>
    <row r="357">
      <c r="A357" s="9"/>
      <c r="B357" s="9"/>
      <c r="C357" s="9"/>
      <c r="D357" s="9"/>
      <c r="E357" s="9"/>
      <c r="F357" s="9"/>
      <c r="G357" s="9"/>
      <c r="H357" s="9"/>
    </row>
    <row r="358">
      <c r="A358" s="9"/>
      <c r="B358" s="9"/>
      <c r="C358" s="9"/>
      <c r="D358" s="9"/>
      <c r="E358" s="9"/>
      <c r="F358" s="9"/>
      <c r="G358" s="9"/>
      <c r="H358" s="9"/>
    </row>
    <row r="359">
      <c r="A359" s="9"/>
      <c r="B359" s="9"/>
      <c r="C359" s="9"/>
      <c r="D359" s="9"/>
      <c r="E359" s="9"/>
      <c r="F359" s="9"/>
      <c r="G359" s="9"/>
      <c r="H359" s="9"/>
    </row>
    <row r="360">
      <c r="A360" s="9"/>
      <c r="B360" s="9"/>
      <c r="C360" s="9"/>
      <c r="D360" s="9"/>
      <c r="E360" s="9"/>
      <c r="F360" s="9"/>
      <c r="G360" s="9"/>
      <c r="H360" s="9"/>
    </row>
    <row r="361">
      <c r="A361" s="9"/>
      <c r="B361" s="9"/>
      <c r="C361" s="9"/>
      <c r="D361" s="9"/>
      <c r="E361" s="9"/>
      <c r="F361" s="9"/>
      <c r="G361" s="9"/>
      <c r="H361" s="9"/>
    </row>
    <row r="362">
      <c r="A362" s="9"/>
      <c r="B362" s="9"/>
      <c r="C362" s="9"/>
      <c r="D362" s="9"/>
      <c r="E362" s="9"/>
      <c r="F362" s="9"/>
      <c r="G362" s="9"/>
      <c r="H362" s="9"/>
    </row>
    <row r="363">
      <c r="A363" s="9"/>
      <c r="B363" s="9"/>
      <c r="C363" s="9"/>
      <c r="D363" s="9"/>
      <c r="E363" s="9"/>
      <c r="F363" s="9"/>
      <c r="G363" s="9"/>
      <c r="H363" s="9"/>
    </row>
    <row r="364">
      <c r="A364" s="9"/>
      <c r="B364" s="9"/>
      <c r="C364" s="9"/>
      <c r="D364" s="9"/>
      <c r="E364" s="9"/>
      <c r="F364" s="9"/>
      <c r="G364" s="9"/>
      <c r="H364" s="9"/>
    </row>
    <row r="365">
      <c r="A365" s="9"/>
      <c r="B365" s="9"/>
      <c r="C365" s="9"/>
      <c r="D365" s="9"/>
      <c r="E365" s="9"/>
      <c r="F365" s="9"/>
      <c r="G365" s="9"/>
      <c r="H365" s="9"/>
    </row>
    <row r="366">
      <c r="A366" s="9"/>
      <c r="B366" s="9"/>
      <c r="C366" s="9"/>
      <c r="D366" s="9"/>
      <c r="E366" s="9"/>
      <c r="F366" s="9"/>
      <c r="G366" s="9"/>
      <c r="H366" s="9"/>
    </row>
    <row r="367">
      <c r="A367" s="9"/>
      <c r="B367" s="9"/>
      <c r="C367" s="9"/>
      <c r="D367" s="9"/>
      <c r="E367" s="9"/>
      <c r="F367" s="9"/>
      <c r="G367" s="9"/>
      <c r="H367" s="9"/>
    </row>
    <row r="368">
      <c r="A368" s="9"/>
      <c r="B368" s="9"/>
      <c r="C368" s="9"/>
      <c r="D368" s="9"/>
      <c r="E368" s="9"/>
      <c r="F368" s="9"/>
      <c r="G368" s="9"/>
      <c r="H368" s="9"/>
    </row>
    <row r="369">
      <c r="A369" s="9"/>
      <c r="B369" s="9"/>
      <c r="C369" s="9"/>
      <c r="D369" s="9"/>
      <c r="E369" s="9"/>
      <c r="F369" s="9"/>
      <c r="G369" s="9"/>
      <c r="H369" s="9"/>
    </row>
    <row r="370">
      <c r="A370" s="9"/>
      <c r="B370" s="9"/>
      <c r="C370" s="9"/>
      <c r="D370" s="9"/>
      <c r="E370" s="9"/>
      <c r="F370" s="9"/>
      <c r="G370" s="9"/>
      <c r="H370" s="9"/>
    </row>
    <row r="371">
      <c r="A371" s="9"/>
      <c r="B371" s="9"/>
      <c r="C371" s="9"/>
      <c r="D371" s="9"/>
      <c r="E371" s="9"/>
      <c r="F371" s="9"/>
      <c r="G371" s="9"/>
      <c r="H371" s="9"/>
    </row>
    <row r="372">
      <c r="A372" s="9"/>
      <c r="B372" s="9"/>
      <c r="C372" s="9"/>
      <c r="D372" s="9"/>
      <c r="E372" s="9"/>
      <c r="F372" s="9"/>
      <c r="G372" s="9"/>
      <c r="H372" s="9"/>
    </row>
    <row r="373">
      <c r="A373" s="9"/>
      <c r="B373" s="9"/>
      <c r="C373" s="9"/>
      <c r="D373" s="9"/>
      <c r="E373" s="9"/>
      <c r="F373" s="9"/>
      <c r="G373" s="9"/>
      <c r="H373" s="9"/>
    </row>
    <row r="374">
      <c r="A374" s="9"/>
      <c r="B374" s="9"/>
      <c r="C374" s="9"/>
      <c r="D374" s="9"/>
      <c r="E374" s="9"/>
      <c r="F374" s="9"/>
      <c r="G374" s="9"/>
      <c r="H374" s="9"/>
    </row>
    <row r="375">
      <c r="A375" s="9"/>
      <c r="B375" s="9"/>
      <c r="C375" s="9"/>
      <c r="D375" s="9"/>
      <c r="E375" s="9"/>
      <c r="F375" s="9"/>
      <c r="G375" s="9"/>
      <c r="H375" s="9"/>
    </row>
    <row r="376">
      <c r="A376" s="9"/>
      <c r="B376" s="9"/>
      <c r="C376" s="9"/>
      <c r="D376" s="9"/>
      <c r="E376" s="9"/>
      <c r="F376" s="9"/>
      <c r="G376" s="9"/>
      <c r="H376" s="9"/>
    </row>
    <row r="377">
      <c r="A377" s="9"/>
      <c r="B377" s="9"/>
      <c r="C377" s="9"/>
      <c r="D377" s="9"/>
      <c r="E377" s="9"/>
      <c r="F377" s="9"/>
      <c r="G377" s="9"/>
      <c r="H377" s="9"/>
    </row>
    <row r="378">
      <c r="A378" s="9"/>
      <c r="B378" s="9"/>
      <c r="C378" s="9"/>
      <c r="D378" s="9"/>
      <c r="E378" s="9"/>
      <c r="F378" s="9"/>
      <c r="G378" s="9"/>
      <c r="H378" s="9"/>
    </row>
    <row r="379">
      <c r="A379" s="9"/>
      <c r="B379" s="9"/>
      <c r="C379" s="9"/>
      <c r="D379" s="9"/>
      <c r="E379" s="9"/>
      <c r="F379" s="9"/>
      <c r="G379" s="9"/>
      <c r="H379" s="9"/>
    </row>
    <row r="380">
      <c r="A380" s="9"/>
      <c r="B380" s="9"/>
      <c r="C380" s="9"/>
      <c r="D380" s="9"/>
      <c r="E380" s="9"/>
      <c r="F380" s="9"/>
      <c r="G380" s="9"/>
      <c r="H380" s="9"/>
    </row>
    <row r="381">
      <c r="A381" s="9"/>
      <c r="B381" s="9"/>
      <c r="C381" s="9"/>
      <c r="D381" s="9"/>
      <c r="E381" s="9"/>
      <c r="F381" s="9"/>
      <c r="G381" s="9"/>
      <c r="H381" s="9"/>
    </row>
    <row r="382">
      <c r="A382" s="9"/>
      <c r="B382" s="9"/>
      <c r="C382" s="9"/>
      <c r="D382" s="9"/>
      <c r="E382" s="9"/>
      <c r="F382" s="9"/>
      <c r="G382" s="9"/>
      <c r="H382" s="9"/>
    </row>
    <row r="383">
      <c r="A383" s="9"/>
      <c r="B383" s="9"/>
      <c r="C383" s="9"/>
      <c r="D383" s="9"/>
      <c r="E383" s="9"/>
      <c r="F383" s="9"/>
      <c r="G383" s="9"/>
      <c r="H383" s="9"/>
    </row>
    <row r="384">
      <c r="A384" s="9"/>
      <c r="B384" s="9"/>
      <c r="C384" s="9"/>
      <c r="D384" s="9"/>
      <c r="E384" s="9"/>
      <c r="F384" s="9"/>
      <c r="G384" s="9"/>
      <c r="H384" s="9"/>
    </row>
    <row r="385">
      <c r="A385" s="9"/>
      <c r="B385" s="9"/>
      <c r="C385" s="9"/>
      <c r="D385" s="9"/>
      <c r="E385" s="9"/>
      <c r="F385" s="9"/>
      <c r="G385" s="9"/>
      <c r="H385" s="9"/>
    </row>
    <row r="386">
      <c r="A386" s="9"/>
      <c r="B386" s="9"/>
      <c r="C386" s="9"/>
      <c r="D386" s="9"/>
      <c r="E386" s="9"/>
      <c r="F386" s="9"/>
      <c r="G386" s="9"/>
      <c r="H386" s="9"/>
    </row>
    <row r="387">
      <c r="A387" s="9"/>
      <c r="B387" s="9"/>
      <c r="C387" s="9"/>
      <c r="D387" s="9"/>
      <c r="E387" s="9"/>
      <c r="F387" s="9"/>
      <c r="G387" s="9"/>
      <c r="H387" s="9"/>
    </row>
    <row r="388">
      <c r="A388" s="9"/>
      <c r="B388" s="9"/>
      <c r="C388" s="9"/>
      <c r="D388" s="9"/>
      <c r="E388" s="9"/>
      <c r="F388" s="9"/>
      <c r="G388" s="9"/>
      <c r="H388" s="9"/>
    </row>
    <row r="389">
      <c r="A389" s="9"/>
      <c r="B389" s="9"/>
      <c r="C389" s="9"/>
      <c r="D389" s="9"/>
      <c r="E389" s="9"/>
      <c r="F389" s="9"/>
      <c r="G389" s="9"/>
      <c r="H389" s="9"/>
    </row>
    <row r="390">
      <c r="A390" s="9"/>
      <c r="B390" s="9"/>
      <c r="C390" s="9"/>
      <c r="D390" s="9"/>
      <c r="E390" s="9"/>
      <c r="F390" s="9"/>
      <c r="G390" s="9"/>
      <c r="H390" s="9"/>
    </row>
    <row r="391">
      <c r="A391" s="9"/>
      <c r="B391" s="9"/>
      <c r="C391" s="9"/>
      <c r="D391" s="9"/>
      <c r="E391" s="9"/>
      <c r="F391" s="9"/>
      <c r="G391" s="9"/>
      <c r="H391" s="9"/>
    </row>
    <row r="392">
      <c r="A392" s="9"/>
      <c r="B392" s="9"/>
      <c r="C392" s="9"/>
      <c r="D392" s="9"/>
      <c r="E392" s="9"/>
      <c r="F392" s="9"/>
      <c r="G392" s="9"/>
      <c r="H392" s="9"/>
    </row>
    <row r="393">
      <c r="A393" s="9"/>
      <c r="B393" s="9"/>
      <c r="C393" s="9"/>
      <c r="D393" s="9"/>
      <c r="E393" s="9"/>
      <c r="F393" s="9"/>
      <c r="G393" s="9"/>
      <c r="H393" s="9"/>
    </row>
    <row r="394">
      <c r="A394" s="9"/>
      <c r="B394" s="9"/>
      <c r="C394" s="9"/>
      <c r="D394" s="9"/>
      <c r="E394" s="9"/>
      <c r="F394" s="9"/>
      <c r="G394" s="9"/>
      <c r="H394" s="9"/>
    </row>
    <row r="395">
      <c r="A395" s="9"/>
      <c r="B395" s="9"/>
      <c r="C395" s="9"/>
      <c r="D395" s="9"/>
      <c r="E395" s="9"/>
      <c r="F395" s="9"/>
      <c r="G395" s="9"/>
      <c r="H395" s="9"/>
    </row>
    <row r="396">
      <c r="A396" s="9"/>
      <c r="B396" s="9"/>
      <c r="C396" s="9"/>
      <c r="D396" s="9"/>
      <c r="E396" s="9"/>
      <c r="F396" s="9"/>
      <c r="G396" s="9"/>
      <c r="H396" s="9"/>
    </row>
    <row r="397">
      <c r="A397" s="9"/>
      <c r="B397" s="9"/>
      <c r="C397" s="9"/>
      <c r="D397" s="9"/>
      <c r="E397" s="9"/>
      <c r="F397" s="9"/>
      <c r="G397" s="9"/>
      <c r="H397" s="9"/>
    </row>
    <row r="398">
      <c r="A398" s="9"/>
      <c r="B398" s="9"/>
      <c r="C398" s="9"/>
      <c r="D398" s="9"/>
      <c r="E398" s="9"/>
      <c r="F398" s="9"/>
      <c r="G398" s="9"/>
      <c r="H398" s="9"/>
    </row>
    <row r="399">
      <c r="A399" s="9"/>
      <c r="B399" s="9"/>
      <c r="C399" s="9"/>
      <c r="D399" s="9"/>
      <c r="E399" s="9"/>
      <c r="F399" s="9"/>
      <c r="G399" s="9"/>
      <c r="H399" s="9"/>
    </row>
    <row r="400">
      <c r="A400" s="9"/>
      <c r="B400" s="9"/>
      <c r="C400" s="9"/>
      <c r="D400" s="9"/>
      <c r="E400" s="9"/>
      <c r="F400" s="9"/>
      <c r="G400" s="9"/>
      <c r="H400" s="9"/>
    </row>
    <row r="401">
      <c r="A401" s="9"/>
      <c r="B401" s="9"/>
      <c r="C401" s="9"/>
      <c r="D401" s="9"/>
      <c r="E401" s="9"/>
      <c r="F401" s="9"/>
      <c r="G401" s="9"/>
      <c r="H401" s="9"/>
    </row>
    <row r="402">
      <c r="A402" s="9"/>
      <c r="B402" s="9"/>
      <c r="C402" s="9"/>
      <c r="D402" s="9"/>
      <c r="E402" s="9"/>
      <c r="F402" s="9"/>
      <c r="G402" s="9"/>
      <c r="H402" s="9"/>
    </row>
    <row r="403">
      <c r="A403" s="9"/>
      <c r="B403" s="9"/>
      <c r="C403" s="9"/>
      <c r="D403" s="9"/>
      <c r="E403" s="9"/>
      <c r="F403" s="9"/>
      <c r="G403" s="9"/>
      <c r="H403" s="9"/>
    </row>
    <row r="404">
      <c r="A404" s="9"/>
      <c r="B404" s="9"/>
      <c r="C404" s="9"/>
      <c r="D404" s="9"/>
      <c r="E404" s="9"/>
      <c r="F404" s="9"/>
      <c r="G404" s="9"/>
      <c r="H404" s="9"/>
    </row>
    <row r="405">
      <c r="A405" s="9"/>
      <c r="B405" s="9"/>
      <c r="C405" s="9"/>
      <c r="D405" s="9"/>
      <c r="E405" s="9"/>
      <c r="F405" s="9"/>
      <c r="G405" s="9"/>
      <c r="H405" s="9"/>
    </row>
    <row r="406">
      <c r="A406" s="9"/>
      <c r="B406" s="9"/>
      <c r="C406" s="9"/>
      <c r="D406" s="9"/>
      <c r="E406" s="9"/>
      <c r="F406" s="9"/>
      <c r="G406" s="9"/>
      <c r="H406" s="9"/>
    </row>
    <row r="407">
      <c r="A407" s="9"/>
      <c r="B407" s="9"/>
      <c r="C407" s="9"/>
      <c r="D407" s="9"/>
      <c r="E407" s="9"/>
      <c r="F407" s="9"/>
      <c r="G407" s="9"/>
      <c r="H407" s="9"/>
    </row>
    <row r="408">
      <c r="A408" s="9"/>
      <c r="B408" s="9"/>
      <c r="C408" s="9"/>
      <c r="D408" s="9"/>
      <c r="E408" s="9"/>
      <c r="F408" s="9"/>
      <c r="G408" s="9"/>
      <c r="H408" s="9"/>
    </row>
    <row r="409">
      <c r="A409" s="9"/>
      <c r="B409" s="9"/>
      <c r="C409" s="9"/>
      <c r="D409" s="9"/>
      <c r="E409" s="9"/>
      <c r="F409" s="9"/>
      <c r="G409" s="9"/>
      <c r="H409" s="9"/>
    </row>
    <row r="410">
      <c r="A410" s="9"/>
      <c r="B410" s="9"/>
      <c r="C410" s="9"/>
      <c r="D410" s="9"/>
      <c r="E410" s="9"/>
      <c r="F410" s="9"/>
      <c r="G410" s="9"/>
      <c r="H410" s="9"/>
    </row>
    <row r="411">
      <c r="A411" s="9"/>
      <c r="B411" s="9"/>
      <c r="C411" s="9"/>
      <c r="D411" s="9"/>
      <c r="E411" s="9"/>
      <c r="F411" s="9"/>
      <c r="G411" s="9"/>
      <c r="H411" s="9"/>
    </row>
    <row r="412">
      <c r="A412" s="9"/>
      <c r="B412" s="9"/>
      <c r="C412" s="9"/>
      <c r="D412" s="9"/>
      <c r="E412" s="9"/>
      <c r="F412" s="9"/>
      <c r="G412" s="9"/>
      <c r="H412" s="9"/>
    </row>
    <row r="413">
      <c r="A413" s="9"/>
      <c r="B413" s="9"/>
      <c r="C413" s="9"/>
      <c r="D413" s="9"/>
      <c r="E413" s="9"/>
      <c r="F413" s="9"/>
      <c r="G413" s="9"/>
      <c r="H413" s="9"/>
    </row>
    <row r="414">
      <c r="A414" s="9"/>
      <c r="B414" s="9"/>
      <c r="C414" s="9"/>
      <c r="D414" s="9"/>
      <c r="E414" s="9"/>
      <c r="F414" s="9"/>
      <c r="G414" s="9"/>
      <c r="H414" s="9"/>
    </row>
    <row r="415">
      <c r="A415" s="9"/>
      <c r="B415" s="9"/>
      <c r="C415" s="9"/>
      <c r="D415" s="9"/>
      <c r="E415" s="9"/>
      <c r="F415" s="9"/>
      <c r="G415" s="9"/>
      <c r="H415" s="9"/>
    </row>
    <row r="416">
      <c r="A416" s="9"/>
      <c r="B416" s="9"/>
      <c r="C416" s="9"/>
      <c r="D416" s="9"/>
      <c r="E416" s="9"/>
      <c r="F416" s="9"/>
      <c r="G416" s="9"/>
      <c r="H416" s="9"/>
    </row>
    <row r="417">
      <c r="A417" s="9"/>
      <c r="B417" s="9"/>
      <c r="C417" s="9"/>
      <c r="D417" s="9"/>
      <c r="E417" s="9"/>
      <c r="F417" s="9"/>
      <c r="G417" s="9"/>
      <c r="H417" s="9"/>
    </row>
    <row r="418">
      <c r="A418" s="9"/>
      <c r="B418" s="9"/>
      <c r="C418" s="9"/>
      <c r="D418" s="9"/>
      <c r="E418" s="9"/>
      <c r="F418" s="9"/>
      <c r="G418" s="9"/>
      <c r="H418" s="9"/>
    </row>
    <row r="419">
      <c r="A419" s="9"/>
      <c r="B419" s="9"/>
      <c r="C419" s="9"/>
      <c r="D419" s="9"/>
      <c r="E419" s="9"/>
      <c r="F419" s="9"/>
      <c r="G419" s="9"/>
      <c r="H419" s="9"/>
    </row>
    <row r="420">
      <c r="A420" s="9"/>
      <c r="B420" s="9"/>
      <c r="C420" s="9"/>
      <c r="D420" s="9"/>
      <c r="E420" s="9"/>
      <c r="F420" s="9"/>
      <c r="G420" s="9"/>
      <c r="H420" s="9"/>
    </row>
    <row r="421">
      <c r="A421" s="9"/>
      <c r="B421" s="9"/>
      <c r="C421" s="9"/>
      <c r="D421" s="9"/>
      <c r="E421" s="9"/>
      <c r="F421" s="9"/>
      <c r="G421" s="9"/>
      <c r="H421" s="9"/>
    </row>
    <row r="422">
      <c r="A422" s="9"/>
      <c r="B422" s="9"/>
      <c r="C422" s="9"/>
      <c r="D422" s="9"/>
      <c r="E422" s="9"/>
      <c r="F422" s="9"/>
      <c r="G422" s="9"/>
      <c r="H422" s="9"/>
    </row>
    <row r="423">
      <c r="A423" s="9"/>
      <c r="B423" s="9"/>
      <c r="C423" s="9"/>
      <c r="D423" s="9"/>
      <c r="E423" s="9"/>
      <c r="F423" s="9"/>
      <c r="G423" s="9"/>
      <c r="H423" s="9"/>
    </row>
    <row r="424">
      <c r="A424" s="9"/>
      <c r="B424" s="9"/>
      <c r="C424" s="9"/>
      <c r="D424" s="9"/>
      <c r="E424" s="9"/>
      <c r="F424" s="9"/>
      <c r="G424" s="9"/>
      <c r="H424" s="9"/>
    </row>
    <row r="425">
      <c r="A425" s="9"/>
      <c r="B425" s="9"/>
      <c r="C425" s="9"/>
      <c r="D425" s="9"/>
      <c r="E425" s="9"/>
      <c r="F425" s="9"/>
      <c r="G425" s="9"/>
      <c r="H425" s="9"/>
    </row>
    <row r="426">
      <c r="A426" s="9"/>
      <c r="B426" s="9"/>
      <c r="C426" s="9"/>
      <c r="D426" s="9"/>
      <c r="E426" s="9"/>
      <c r="F426" s="9"/>
      <c r="G426" s="9"/>
      <c r="H426" s="9"/>
    </row>
    <row r="427">
      <c r="A427" s="9"/>
      <c r="B427" s="9"/>
      <c r="C427" s="9"/>
      <c r="D427" s="9"/>
      <c r="E427" s="9"/>
      <c r="F427" s="9"/>
      <c r="G427" s="9"/>
      <c r="H427" s="9"/>
    </row>
    <row r="428">
      <c r="A428" s="9"/>
      <c r="B428" s="9"/>
      <c r="C428" s="9"/>
      <c r="D428" s="9"/>
      <c r="E428" s="9"/>
      <c r="F428" s="9"/>
      <c r="G428" s="9"/>
      <c r="H428" s="9"/>
    </row>
    <row r="429">
      <c r="A429" s="9"/>
      <c r="B429" s="9"/>
      <c r="C429" s="9"/>
      <c r="D429" s="9"/>
      <c r="E429" s="9"/>
      <c r="F429" s="9"/>
      <c r="G429" s="9"/>
      <c r="H429" s="9"/>
    </row>
    <row r="430">
      <c r="A430" s="9"/>
      <c r="B430" s="9"/>
      <c r="C430" s="9"/>
      <c r="D430" s="9"/>
      <c r="E430" s="9"/>
      <c r="F430" s="9"/>
      <c r="G430" s="9"/>
      <c r="H430" s="9"/>
    </row>
    <row r="431">
      <c r="A431" s="9"/>
      <c r="B431" s="9"/>
      <c r="C431" s="9"/>
      <c r="D431" s="9"/>
      <c r="E431" s="9"/>
      <c r="F431" s="9"/>
      <c r="G431" s="9"/>
      <c r="H431" s="9"/>
    </row>
    <row r="432">
      <c r="A432" s="9"/>
      <c r="B432" s="9"/>
      <c r="C432" s="9"/>
      <c r="D432" s="9"/>
      <c r="E432" s="9"/>
      <c r="F432" s="9"/>
      <c r="G432" s="9"/>
      <c r="H432" s="9"/>
    </row>
    <row r="433">
      <c r="A433" s="9"/>
      <c r="B433" s="9"/>
      <c r="C433" s="9"/>
      <c r="D433" s="9"/>
      <c r="E433" s="9"/>
      <c r="F433" s="9"/>
      <c r="G433" s="9"/>
      <c r="H433" s="9"/>
    </row>
    <row r="434">
      <c r="A434" s="9"/>
      <c r="B434" s="9"/>
      <c r="C434" s="9"/>
      <c r="D434" s="9"/>
      <c r="E434" s="9"/>
      <c r="F434" s="9"/>
      <c r="G434" s="9"/>
      <c r="H434" s="9"/>
    </row>
    <row r="435">
      <c r="A435" s="9"/>
      <c r="B435" s="9"/>
      <c r="C435" s="9"/>
      <c r="D435" s="9"/>
      <c r="E435" s="9"/>
      <c r="F435" s="9"/>
      <c r="G435" s="9"/>
      <c r="H435" s="9"/>
    </row>
    <row r="436">
      <c r="A436" s="9"/>
      <c r="B436" s="9"/>
      <c r="C436" s="9"/>
      <c r="D436" s="9"/>
      <c r="E436" s="9"/>
      <c r="F436" s="9"/>
      <c r="G436" s="9"/>
      <c r="H436" s="9"/>
    </row>
    <row r="437">
      <c r="A437" s="9"/>
      <c r="B437" s="9"/>
      <c r="C437" s="9"/>
      <c r="D437" s="9"/>
      <c r="E437" s="9"/>
      <c r="F437" s="9"/>
      <c r="G437" s="9"/>
      <c r="H437" s="9"/>
    </row>
    <row r="438">
      <c r="A438" s="9"/>
      <c r="B438" s="9"/>
      <c r="C438" s="9"/>
      <c r="D438" s="9"/>
      <c r="E438" s="9"/>
      <c r="F438" s="9"/>
      <c r="G438" s="9"/>
      <c r="H438" s="9"/>
    </row>
    <row r="439">
      <c r="A439" s="9"/>
      <c r="B439" s="9"/>
      <c r="C439" s="9"/>
      <c r="D439" s="9"/>
      <c r="E439" s="9"/>
      <c r="F439" s="9"/>
      <c r="G439" s="9"/>
      <c r="H439" s="9"/>
    </row>
    <row r="440">
      <c r="A440" s="9"/>
      <c r="B440" s="9"/>
      <c r="C440" s="9"/>
      <c r="D440" s="9"/>
      <c r="E440" s="9"/>
      <c r="F440" s="9"/>
      <c r="G440" s="9"/>
      <c r="H440" s="9"/>
    </row>
    <row r="441">
      <c r="A441" s="9"/>
      <c r="B441" s="9"/>
      <c r="C441" s="9"/>
      <c r="D441" s="9"/>
      <c r="E441" s="9"/>
      <c r="F441" s="9"/>
      <c r="G441" s="9"/>
      <c r="H441" s="9"/>
    </row>
    <row r="442">
      <c r="A442" s="9"/>
      <c r="B442" s="9"/>
      <c r="C442" s="9"/>
      <c r="D442" s="9"/>
      <c r="E442" s="9"/>
      <c r="F442" s="9"/>
      <c r="G442" s="9"/>
      <c r="H442" s="9"/>
    </row>
    <row r="443">
      <c r="A443" s="9"/>
      <c r="B443" s="9"/>
      <c r="C443" s="9"/>
      <c r="D443" s="9"/>
      <c r="E443" s="9"/>
      <c r="F443" s="9"/>
      <c r="G443" s="9"/>
      <c r="H443" s="9"/>
    </row>
    <row r="444">
      <c r="A444" s="9"/>
      <c r="B444" s="9"/>
      <c r="C444" s="9"/>
      <c r="D444" s="9"/>
      <c r="E444" s="9"/>
      <c r="F444" s="9"/>
      <c r="G444" s="9"/>
      <c r="H444" s="9"/>
    </row>
    <row r="445">
      <c r="A445" s="9"/>
      <c r="B445" s="9"/>
      <c r="C445" s="9"/>
      <c r="D445" s="9"/>
      <c r="E445" s="9"/>
      <c r="F445" s="9"/>
      <c r="G445" s="9"/>
      <c r="H445" s="9"/>
    </row>
    <row r="446">
      <c r="A446" s="9"/>
      <c r="B446" s="9"/>
      <c r="C446" s="9"/>
      <c r="D446" s="9"/>
      <c r="E446" s="9"/>
      <c r="F446" s="9"/>
      <c r="G446" s="9"/>
      <c r="H446" s="9"/>
    </row>
    <row r="447">
      <c r="A447" s="9"/>
      <c r="B447" s="9"/>
      <c r="C447" s="9"/>
      <c r="D447" s="9"/>
      <c r="E447" s="9"/>
      <c r="F447" s="9"/>
      <c r="G447" s="9"/>
      <c r="H447" s="9"/>
    </row>
    <row r="448">
      <c r="A448" s="9"/>
      <c r="B448" s="9"/>
      <c r="C448" s="9"/>
      <c r="D448" s="9"/>
      <c r="E448" s="9"/>
      <c r="F448" s="9"/>
      <c r="G448" s="9"/>
      <c r="H448" s="9"/>
    </row>
    <row r="449">
      <c r="A449" s="9"/>
      <c r="B449" s="9"/>
      <c r="C449" s="9"/>
      <c r="D449" s="9"/>
      <c r="E449" s="9"/>
      <c r="F449" s="9"/>
      <c r="G449" s="9"/>
      <c r="H449" s="9"/>
    </row>
    <row r="450">
      <c r="A450" s="9"/>
      <c r="B450" s="9"/>
      <c r="C450" s="9"/>
      <c r="D450" s="9"/>
      <c r="E450" s="9"/>
      <c r="F450" s="9"/>
      <c r="G450" s="9"/>
      <c r="H450" s="9"/>
    </row>
    <row r="451">
      <c r="A451" s="9"/>
      <c r="B451" s="9"/>
      <c r="C451" s="9"/>
      <c r="D451" s="9"/>
      <c r="E451" s="9"/>
      <c r="F451" s="9"/>
      <c r="G451" s="9"/>
      <c r="H451" s="9"/>
    </row>
    <row r="452">
      <c r="A452" s="9"/>
      <c r="B452" s="9"/>
      <c r="C452" s="9"/>
      <c r="D452" s="9"/>
      <c r="E452" s="9"/>
      <c r="F452" s="9"/>
      <c r="G452" s="9"/>
      <c r="H452" s="9"/>
    </row>
    <row r="453">
      <c r="A453" s="9"/>
      <c r="B453" s="9"/>
      <c r="C453" s="9"/>
      <c r="D453" s="9"/>
      <c r="E453" s="9"/>
      <c r="F453" s="9"/>
      <c r="G453" s="9"/>
      <c r="H453" s="9"/>
    </row>
    <row r="454">
      <c r="A454" s="9"/>
      <c r="B454" s="9"/>
      <c r="C454" s="9"/>
      <c r="D454" s="9"/>
      <c r="E454" s="9"/>
      <c r="F454" s="9"/>
      <c r="G454" s="9"/>
      <c r="H454" s="9"/>
    </row>
    <row r="455">
      <c r="A455" s="9"/>
      <c r="B455" s="9"/>
      <c r="C455" s="9"/>
      <c r="D455" s="9"/>
      <c r="E455" s="9"/>
      <c r="F455" s="9"/>
      <c r="G455" s="9"/>
      <c r="H455" s="9"/>
    </row>
    <row r="456">
      <c r="A456" s="9"/>
      <c r="B456" s="9"/>
      <c r="C456" s="9"/>
      <c r="D456" s="9"/>
      <c r="E456" s="9"/>
      <c r="F456" s="9"/>
      <c r="G456" s="9"/>
      <c r="H456" s="9"/>
    </row>
    <row r="457">
      <c r="A457" s="9"/>
      <c r="B457" s="9"/>
      <c r="C457" s="9"/>
      <c r="D457" s="9"/>
      <c r="E457" s="9"/>
      <c r="F457" s="9"/>
      <c r="G457" s="9"/>
      <c r="H457" s="9"/>
    </row>
    <row r="458">
      <c r="A458" s="9"/>
      <c r="B458" s="9"/>
      <c r="C458" s="9"/>
      <c r="D458" s="9"/>
      <c r="E458" s="9"/>
      <c r="F458" s="9"/>
      <c r="G458" s="9"/>
      <c r="H458" s="9"/>
    </row>
    <row r="459">
      <c r="A459" s="9"/>
      <c r="B459" s="9"/>
      <c r="C459" s="9"/>
      <c r="D459" s="9"/>
      <c r="E459" s="9"/>
      <c r="F459" s="9"/>
      <c r="G459" s="9"/>
      <c r="H459" s="9"/>
    </row>
    <row r="460">
      <c r="A460" s="9"/>
      <c r="B460" s="9"/>
      <c r="C460" s="9"/>
      <c r="D460" s="9"/>
      <c r="E460" s="9"/>
      <c r="F460" s="9"/>
      <c r="G460" s="9"/>
      <c r="H460" s="9"/>
    </row>
    <row r="461">
      <c r="A461" s="9"/>
      <c r="B461" s="9"/>
      <c r="C461" s="9"/>
      <c r="D461" s="9"/>
      <c r="E461" s="9"/>
      <c r="F461" s="9"/>
      <c r="G461" s="9"/>
      <c r="H461" s="9"/>
    </row>
    <row r="462">
      <c r="A462" s="9"/>
      <c r="B462" s="9"/>
      <c r="C462" s="9"/>
      <c r="D462" s="9"/>
      <c r="E462" s="9"/>
      <c r="F462" s="9"/>
      <c r="G462" s="9"/>
      <c r="H462" s="9"/>
    </row>
    <row r="463">
      <c r="A463" s="9"/>
      <c r="B463" s="9"/>
      <c r="C463" s="9"/>
      <c r="D463" s="9"/>
      <c r="E463" s="9"/>
      <c r="F463" s="9"/>
      <c r="G463" s="9"/>
      <c r="H463" s="9"/>
    </row>
    <row r="464">
      <c r="A464" s="9"/>
      <c r="B464" s="9"/>
      <c r="C464" s="9"/>
      <c r="D464" s="9"/>
      <c r="E464" s="9"/>
      <c r="F464" s="9"/>
      <c r="G464" s="9"/>
      <c r="H464" s="9"/>
    </row>
    <row r="465">
      <c r="A465" s="9"/>
      <c r="B465" s="9"/>
      <c r="C465" s="9"/>
      <c r="D465" s="9"/>
      <c r="E465" s="9"/>
      <c r="F465" s="9"/>
      <c r="G465" s="9"/>
      <c r="H465" s="9"/>
    </row>
    <row r="466">
      <c r="A466" s="9"/>
      <c r="B466" s="9"/>
      <c r="C466" s="9"/>
      <c r="D466" s="9"/>
      <c r="E466" s="9"/>
      <c r="F466" s="9"/>
      <c r="G466" s="9"/>
      <c r="H466" s="9"/>
    </row>
    <row r="467">
      <c r="A467" s="9"/>
      <c r="B467" s="9"/>
      <c r="C467" s="9"/>
      <c r="D467" s="9"/>
      <c r="E467" s="9"/>
      <c r="F467" s="9"/>
      <c r="G467" s="9"/>
      <c r="H467" s="9"/>
    </row>
    <row r="468">
      <c r="A468" s="9"/>
      <c r="B468" s="9"/>
      <c r="C468" s="9"/>
      <c r="D468" s="9"/>
      <c r="E468" s="9"/>
      <c r="F468" s="9"/>
      <c r="G468" s="9"/>
      <c r="H468" s="9"/>
    </row>
    <row r="469">
      <c r="A469" s="9"/>
      <c r="B469" s="9"/>
      <c r="C469" s="9"/>
      <c r="D469" s="9"/>
      <c r="E469" s="9"/>
      <c r="F469" s="9"/>
      <c r="G469" s="9"/>
      <c r="H469" s="9"/>
    </row>
    <row r="470">
      <c r="A470" s="9"/>
      <c r="B470" s="9"/>
      <c r="C470" s="9"/>
      <c r="D470" s="9"/>
      <c r="E470" s="9"/>
      <c r="F470" s="9"/>
      <c r="G470" s="9"/>
      <c r="H470" s="9"/>
    </row>
    <row r="471">
      <c r="A471" s="9"/>
      <c r="B471" s="9"/>
      <c r="C471" s="9"/>
      <c r="D471" s="9"/>
      <c r="E471" s="9"/>
      <c r="F471" s="9"/>
      <c r="G471" s="9"/>
      <c r="H471" s="9"/>
    </row>
    <row r="472">
      <c r="A472" s="9"/>
      <c r="B472" s="9"/>
      <c r="C472" s="9"/>
      <c r="D472" s="9"/>
      <c r="E472" s="9"/>
      <c r="F472" s="9"/>
      <c r="G472" s="9"/>
      <c r="H472" s="9"/>
    </row>
    <row r="473">
      <c r="A473" s="9"/>
      <c r="B473" s="9"/>
      <c r="C473" s="9"/>
      <c r="D473" s="9"/>
      <c r="E473" s="9"/>
      <c r="F473" s="9"/>
      <c r="G473" s="9"/>
      <c r="H473" s="9"/>
    </row>
    <row r="474">
      <c r="A474" s="9"/>
      <c r="B474" s="9"/>
      <c r="C474" s="9"/>
      <c r="D474" s="9"/>
      <c r="E474" s="9"/>
      <c r="F474" s="9"/>
      <c r="G474" s="9"/>
      <c r="H474" s="9"/>
    </row>
    <row r="475">
      <c r="A475" s="9"/>
      <c r="B475" s="9"/>
      <c r="C475" s="9"/>
      <c r="D475" s="9"/>
      <c r="E475" s="9"/>
      <c r="F475" s="9"/>
      <c r="G475" s="9"/>
      <c r="H475" s="9"/>
    </row>
    <row r="476">
      <c r="A476" s="9"/>
      <c r="B476" s="9"/>
      <c r="C476" s="9"/>
      <c r="D476" s="9"/>
      <c r="E476" s="9"/>
      <c r="F476" s="9"/>
      <c r="G476" s="9"/>
      <c r="H476" s="9"/>
    </row>
    <row r="477">
      <c r="A477" s="9"/>
      <c r="B477" s="9"/>
      <c r="C477" s="9"/>
      <c r="D477" s="9"/>
      <c r="E477" s="9"/>
      <c r="F477" s="9"/>
      <c r="G477" s="9"/>
      <c r="H477" s="9"/>
    </row>
    <row r="478">
      <c r="A478" s="9"/>
      <c r="B478" s="9"/>
      <c r="C478" s="9"/>
      <c r="D478" s="9"/>
      <c r="E478" s="9"/>
      <c r="F478" s="9"/>
      <c r="G478" s="9"/>
      <c r="H478" s="9"/>
    </row>
    <row r="479">
      <c r="A479" s="9"/>
      <c r="B479" s="9"/>
      <c r="C479" s="9"/>
      <c r="D479" s="9"/>
      <c r="E479" s="9"/>
      <c r="F479" s="9"/>
      <c r="G479" s="9"/>
      <c r="H479" s="9"/>
    </row>
    <row r="480">
      <c r="A480" s="9"/>
      <c r="B480" s="9"/>
      <c r="C480" s="9"/>
      <c r="D480" s="9"/>
      <c r="E480" s="9"/>
      <c r="F480" s="9"/>
      <c r="G480" s="9"/>
      <c r="H480" s="9"/>
    </row>
    <row r="481">
      <c r="A481" s="9"/>
      <c r="B481" s="9"/>
      <c r="C481" s="9"/>
      <c r="D481" s="9"/>
      <c r="E481" s="9"/>
      <c r="F481" s="9"/>
      <c r="G481" s="9"/>
      <c r="H481" s="9"/>
    </row>
    <row r="482">
      <c r="A482" s="9"/>
      <c r="B482" s="9"/>
      <c r="C482" s="9"/>
      <c r="D482" s="9"/>
      <c r="E482" s="9"/>
      <c r="F482" s="9"/>
      <c r="G482" s="9"/>
      <c r="H482" s="9"/>
    </row>
    <row r="483">
      <c r="A483" s="9"/>
      <c r="B483" s="9"/>
      <c r="C483" s="9"/>
      <c r="D483" s="9"/>
      <c r="E483" s="9"/>
      <c r="F483" s="9"/>
      <c r="G483" s="9"/>
      <c r="H483" s="9"/>
    </row>
    <row r="484">
      <c r="A484" s="9"/>
      <c r="B484" s="9"/>
      <c r="C484" s="9"/>
      <c r="D484" s="9"/>
      <c r="E484" s="9"/>
      <c r="F484" s="9"/>
      <c r="G484" s="9"/>
      <c r="H484" s="9"/>
    </row>
    <row r="485">
      <c r="A485" s="9"/>
      <c r="B485" s="9"/>
      <c r="C485" s="9"/>
      <c r="D485" s="9"/>
      <c r="E485" s="9"/>
      <c r="F485" s="9"/>
      <c r="G485" s="9"/>
      <c r="H485" s="9"/>
    </row>
    <row r="486">
      <c r="A486" s="9"/>
      <c r="B486" s="9"/>
      <c r="C486" s="9"/>
      <c r="D486" s="9"/>
      <c r="E486" s="9"/>
      <c r="F486" s="9"/>
      <c r="G486" s="9"/>
      <c r="H486" s="9"/>
    </row>
    <row r="487">
      <c r="A487" s="9"/>
      <c r="B487" s="9"/>
      <c r="C487" s="9"/>
      <c r="D487" s="9"/>
      <c r="E487" s="9"/>
      <c r="F487" s="9"/>
      <c r="G487" s="9"/>
      <c r="H487" s="9"/>
    </row>
    <row r="488">
      <c r="A488" s="9"/>
      <c r="B488" s="9"/>
      <c r="C488" s="9"/>
      <c r="D488" s="9"/>
      <c r="E488" s="9"/>
      <c r="F488" s="9"/>
      <c r="G488" s="9"/>
      <c r="H488" s="9"/>
    </row>
    <row r="489">
      <c r="A489" s="9"/>
      <c r="B489" s="9"/>
      <c r="C489" s="9"/>
      <c r="D489" s="9"/>
      <c r="E489" s="9"/>
      <c r="F489" s="9"/>
      <c r="G489" s="9"/>
      <c r="H489" s="9"/>
    </row>
    <row r="490">
      <c r="A490" s="9"/>
      <c r="B490" s="9"/>
      <c r="C490" s="9"/>
      <c r="D490" s="9"/>
      <c r="E490" s="9"/>
      <c r="F490" s="9"/>
      <c r="G490" s="9"/>
      <c r="H490" s="9"/>
    </row>
    <row r="491">
      <c r="A491" s="9"/>
      <c r="B491" s="9"/>
      <c r="C491" s="9"/>
      <c r="D491" s="9"/>
      <c r="E491" s="9"/>
      <c r="F491" s="9"/>
      <c r="G491" s="9"/>
      <c r="H491" s="9"/>
    </row>
    <row r="492">
      <c r="A492" s="9"/>
      <c r="B492" s="9"/>
      <c r="C492" s="9"/>
      <c r="D492" s="9"/>
      <c r="E492" s="9"/>
      <c r="F492" s="9"/>
      <c r="G492" s="9"/>
      <c r="H492" s="9"/>
    </row>
    <row r="493">
      <c r="A493" s="9"/>
      <c r="B493" s="9"/>
      <c r="C493" s="9"/>
      <c r="D493" s="9"/>
      <c r="E493" s="9"/>
      <c r="F493" s="9"/>
      <c r="G493" s="9"/>
      <c r="H493" s="9"/>
    </row>
    <row r="494">
      <c r="A494" s="9"/>
      <c r="B494" s="9"/>
      <c r="C494" s="9"/>
      <c r="D494" s="9"/>
      <c r="E494" s="9"/>
      <c r="F494" s="9"/>
      <c r="G494" s="9"/>
      <c r="H494" s="9"/>
    </row>
    <row r="495">
      <c r="A495" s="9"/>
      <c r="B495" s="9"/>
      <c r="C495" s="9"/>
      <c r="D495" s="9"/>
      <c r="E495" s="9"/>
      <c r="F495" s="9"/>
      <c r="G495" s="9"/>
      <c r="H495" s="9"/>
    </row>
    <row r="496">
      <c r="A496" s="9"/>
      <c r="B496" s="9"/>
      <c r="C496" s="9"/>
      <c r="D496" s="9"/>
      <c r="E496" s="9"/>
      <c r="F496" s="9"/>
      <c r="G496" s="9"/>
      <c r="H496" s="9"/>
    </row>
    <row r="497">
      <c r="A497" s="9"/>
      <c r="B497" s="9"/>
      <c r="C497" s="9"/>
      <c r="D497" s="9"/>
      <c r="E497" s="9"/>
      <c r="F497" s="9"/>
      <c r="G497" s="9"/>
      <c r="H497" s="9"/>
    </row>
    <row r="498">
      <c r="A498" s="9"/>
      <c r="B498" s="9"/>
      <c r="C498" s="9"/>
      <c r="D498" s="9"/>
      <c r="E498" s="9"/>
      <c r="F498" s="9"/>
      <c r="G498" s="9"/>
      <c r="H498" s="9"/>
    </row>
    <row r="499">
      <c r="A499" s="9"/>
      <c r="B499" s="9"/>
      <c r="C499" s="9"/>
      <c r="D499" s="9"/>
      <c r="E499" s="9"/>
      <c r="F499" s="9"/>
      <c r="G499" s="9"/>
      <c r="H499" s="9"/>
    </row>
    <row r="500">
      <c r="A500" s="9"/>
      <c r="B500" s="9"/>
      <c r="C500" s="9"/>
      <c r="D500" s="9"/>
      <c r="E500" s="9"/>
      <c r="F500" s="9"/>
      <c r="G500" s="9"/>
      <c r="H500" s="9"/>
    </row>
    <row r="501">
      <c r="A501" s="9"/>
      <c r="B501" s="9"/>
      <c r="C501" s="9"/>
      <c r="D501" s="9"/>
      <c r="E501" s="9"/>
      <c r="F501" s="9"/>
      <c r="G501" s="9"/>
      <c r="H501" s="9"/>
    </row>
    <row r="502">
      <c r="A502" s="9"/>
      <c r="B502" s="9"/>
      <c r="C502" s="9"/>
      <c r="D502" s="9"/>
      <c r="E502" s="9"/>
      <c r="F502" s="9"/>
      <c r="G502" s="9"/>
      <c r="H502" s="9"/>
    </row>
    <row r="503">
      <c r="A503" s="9"/>
      <c r="B503" s="9"/>
      <c r="C503" s="9"/>
      <c r="D503" s="9"/>
      <c r="E503" s="9"/>
      <c r="F503" s="9"/>
      <c r="G503" s="9"/>
      <c r="H503" s="9"/>
    </row>
    <row r="504">
      <c r="A504" s="9"/>
      <c r="B504" s="9"/>
      <c r="C504" s="9"/>
      <c r="D504" s="9"/>
      <c r="E504" s="9"/>
      <c r="F504" s="9"/>
      <c r="G504" s="9"/>
      <c r="H504" s="9"/>
    </row>
    <row r="505">
      <c r="A505" s="9"/>
      <c r="B505" s="9"/>
      <c r="C505" s="9"/>
      <c r="D505" s="9"/>
      <c r="E505" s="9"/>
      <c r="F505" s="9"/>
      <c r="G505" s="9"/>
      <c r="H505" s="9"/>
    </row>
    <row r="506">
      <c r="A506" s="9"/>
      <c r="B506" s="9"/>
      <c r="C506" s="9"/>
      <c r="D506" s="9"/>
      <c r="E506" s="9"/>
      <c r="F506" s="9"/>
      <c r="G506" s="9"/>
      <c r="H506" s="9"/>
    </row>
    <row r="507">
      <c r="A507" s="9"/>
      <c r="B507" s="9"/>
      <c r="C507" s="9"/>
      <c r="D507" s="9"/>
      <c r="E507" s="9"/>
      <c r="F507" s="9"/>
      <c r="G507" s="9"/>
      <c r="H507" s="9"/>
    </row>
    <row r="508">
      <c r="A508" s="9"/>
      <c r="B508" s="9"/>
      <c r="C508" s="9"/>
      <c r="D508" s="9"/>
      <c r="E508" s="9"/>
      <c r="F508" s="9"/>
      <c r="G508" s="9"/>
      <c r="H508" s="9"/>
    </row>
    <row r="509">
      <c r="A509" s="9"/>
      <c r="B509" s="9"/>
      <c r="C509" s="9"/>
      <c r="D509" s="9"/>
      <c r="E509" s="9"/>
      <c r="F509" s="9"/>
      <c r="G509" s="9"/>
      <c r="H509" s="9"/>
    </row>
    <row r="510">
      <c r="A510" s="9"/>
      <c r="B510" s="9"/>
      <c r="C510" s="9"/>
      <c r="D510" s="9"/>
      <c r="E510" s="9"/>
      <c r="F510" s="9"/>
      <c r="G510" s="9"/>
      <c r="H510" s="9"/>
    </row>
    <row r="511">
      <c r="A511" s="9"/>
      <c r="B511" s="9"/>
      <c r="C511" s="9"/>
      <c r="D511" s="9"/>
      <c r="E511" s="9"/>
      <c r="F511" s="9"/>
      <c r="G511" s="9"/>
      <c r="H511" s="9"/>
    </row>
    <row r="512">
      <c r="A512" s="9"/>
      <c r="B512" s="9"/>
      <c r="C512" s="9"/>
      <c r="D512" s="9"/>
      <c r="E512" s="9"/>
      <c r="F512" s="9"/>
      <c r="G512" s="9"/>
      <c r="H512" s="9"/>
    </row>
    <row r="513">
      <c r="A513" s="9"/>
      <c r="B513" s="9"/>
      <c r="C513" s="9"/>
      <c r="D513" s="9"/>
      <c r="E513" s="9"/>
      <c r="F513" s="9"/>
      <c r="G513" s="9"/>
      <c r="H513" s="9"/>
    </row>
    <row r="514">
      <c r="A514" s="9"/>
      <c r="B514" s="9"/>
      <c r="C514" s="9"/>
      <c r="D514" s="9"/>
      <c r="E514" s="9"/>
      <c r="F514" s="9"/>
      <c r="G514" s="9"/>
      <c r="H514" s="9"/>
    </row>
    <row r="515">
      <c r="A515" s="9"/>
      <c r="B515" s="9"/>
      <c r="C515" s="9"/>
      <c r="D515" s="9"/>
      <c r="E515" s="9"/>
      <c r="F515" s="9"/>
      <c r="G515" s="9"/>
      <c r="H515" s="9"/>
    </row>
    <row r="516">
      <c r="A516" s="9"/>
      <c r="B516" s="9"/>
      <c r="C516" s="9"/>
      <c r="D516" s="9"/>
      <c r="E516" s="9"/>
      <c r="F516" s="9"/>
      <c r="G516" s="9"/>
      <c r="H516" s="9"/>
    </row>
    <row r="517">
      <c r="A517" s="9"/>
      <c r="B517" s="9"/>
      <c r="C517" s="9"/>
      <c r="D517" s="9"/>
      <c r="E517" s="9"/>
      <c r="F517" s="9"/>
      <c r="G517" s="9"/>
      <c r="H517" s="9"/>
    </row>
    <row r="518">
      <c r="A518" s="9"/>
      <c r="B518" s="9"/>
      <c r="C518" s="9"/>
      <c r="D518" s="9"/>
      <c r="E518" s="9"/>
      <c r="F518" s="9"/>
      <c r="G518" s="9"/>
      <c r="H518" s="9"/>
    </row>
    <row r="519">
      <c r="A519" s="9"/>
      <c r="B519" s="9"/>
      <c r="C519" s="9"/>
      <c r="D519" s="9"/>
      <c r="E519" s="9"/>
      <c r="F519" s="9"/>
      <c r="G519" s="9"/>
      <c r="H519" s="9"/>
    </row>
    <row r="520">
      <c r="A520" s="9"/>
      <c r="B520" s="9"/>
      <c r="C520" s="9"/>
      <c r="D520" s="9"/>
      <c r="E520" s="9"/>
      <c r="F520" s="9"/>
      <c r="G520" s="9"/>
      <c r="H520" s="9"/>
    </row>
    <row r="521">
      <c r="A521" s="9"/>
      <c r="B521" s="9"/>
      <c r="C521" s="9"/>
      <c r="D521" s="9"/>
      <c r="E521" s="9"/>
      <c r="F521" s="9"/>
      <c r="G521" s="9"/>
      <c r="H521" s="9"/>
    </row>
    <row r="522">
      <c r="A522" s="9"/>
      <c r="B522" s="9"/>
      <c r="C522" s="9"/>
      <c r="D522" s="9"/>
      <c r="E522" s="9"/>
      <c r="F522" s="9"/>
      <c r="G522" s="9"/>
      <c r="H522" s="9"/>
    </row>
    <row r="523">
      <c r="A523" s="9"/>
      <c r="B523" s="9"/>
      <c r="C523" s="9"/>
      <c r="D523" s="9"/>
      <c r="E523" s="9"/>
      <c r="F523" s="9"/>
      <c r="G523" s="9"/>
      <c r="H523" s="9"/>
    </row>
    <row r="524">
      <c r="A524" s="9"/>
      <c r="B524" s="9"/>
      <c r="C524" s="9"/>
      <c r="D524" s="9"/>
      <c r="E524" s="9"/>
      <c r="F524" s="9"/>
      <c r="G524" s="9"/>
      <c r="H524" s="9"/>
    </row>
    <row r="525">
      <c r="A525" s="9"/>
      <c r="B525" s="9"/>
      <c r="C525" s="9"/>
      <c r="D525" s="9"/>
      <c r="E525" s="9"/>
      <c r="F525" s="9"/>
      <c r="G525" s="9"/>
      <c r="H525" s="9"/>
    </row>
    <row r="526">
      <c r="A526" s="9"/>
      <c r="B526" s="9"/>
      <c r="C526" s="9"/>
      <c r="D526" s="9"/>
      <c r="E526" s="9"/>
      <c r="F526" s="9"/>
      <c r="G526" s="9"/>
      <c r="H526" s="9"/>
    </row>
    <row r="527">
      <c r="A527" s="9"/>
      <c r="B527" s="9"/>
      <c r="C527" s="9"/>
      <c r="D527" s="9"/>
      <c r="E527" s="9"/>
      <c r="F527" s="9"/>
      <c r="G527" s="9"/>
      <c r="H527" s="9"/>
    </row>
    <row r="528">
      <c r="A528" s="9"/>
      <c r="B528" s="9"/>
      <c r="C528" s="9"/>
      <c r="D528" s="9"/>
      <c r="E528" s="9"/>
      <c r="F528" s="9"/>
      <c r="G528" s="9"/>
      <c r="H528" s="9"/>
    </row>
    <row r="529">
      <c r="A529" s="9"/>
      <c r="B529" s="9"/>
      <c r="C529" s="9"/>
      <c r="D529" s="9"/>
      <c r="E529" s="9"/>
      <c r="F529" s="9"/>
      <c r="G529" s="9"/>
      <c r="H529" s="9"/>
    </row>
    <row r="530">
      <c r="A530" s="9"/>
      <c r="B530" s="9"/>
      <c r="C530" s="9"/>
      <c r="D530" s="9"/>
      <c r="E530" s="9"/>
      <c r="F530" s="9"/>
      <c r="G530" s="9"/>
      <c r="H530" s="9"/>
    </row>
    <row r="531">
      <c r="A531" s="9"/>
      <c r="B531" s="9"/>
      <c r="C531" s="9"/>
      <c r="D531" s="9"/>
      <c r="E531" s="9"/>
      <c r="F531" s="9"/>
      <c r="G531" s="9"/>
      <c r="H531" s="9"/>
    </row>
    <row r="532">
      <c r="A532" s="9"/>
      <c r="B532" s="9"/>
      <c r="C532" s="9"/>
      <c r="D532" s="9"/>
      <c r="E532" s="9"/>
      <c r="F532" s="9"/>
      <c r="G532" s="9"/>
      <c r="H532" s="9"/>
    </row>
    <row r="533">
      <c r="A533" s="9"/>
      <c r="B533" s="9"/>
      <c r="C533" s="9"/>
      <c r="D533" s="9"/>
      <c r="E533" s="9"/>
      <c r="F533" s="9"/>
      <c r="G533" s="9"/>
      <c r="H533" s="9"/>
    </row>
    <row r="534">
      <c r="A534" s="9"/>
      <c r="B534" s="9"/>
      <c r="C534" s="9"/>
      <c r="D534" s="9"/>
      <c r="E534" s="9"/>
      <c r="F534" s="9"/>
      <c r="G534" s="9"/>
      <c r="H534" s="9"/>
    </row>
    <row r="535">
      <c r="A535" s="9"/>
      <c r="B535" s="9"/>
      <c r="C535" s="9"/>
      <c r="D535" s="9"/>
      <c r="E535" s="9"/>
      <c r="F535" s="9"/>
      <c r="G535" s="9"/>
      <c r="H535" s="9"/>
    </row>
    <row r="536">
      <c r="A536" s="9"/>
      <c r="B536" s="9"/>
      <c r="C536" s="9"/>
      <c r="D536" s="9"/>
      <c r="E536" s="9"/>
      <c r="F536" s="9"/>
      <c r="G536" s="9"/>
      <c r="H536" s="9"/>
    </row>
    <row r="537">
      <c r="A537" s="9"/>
      <c r="B537" s="9"/>
      <c r="C537" s="9"/>
      <c r="D537" s="9"/>
      <c r="E537" s="9"/>
      <c r="F537" s="9"/>
      <c r="G537" s="9"/>
      <c r="H537" s="9"/>
    </row>
    <row r="538">
      <c r="A538" s="9"/>
      <c r="B538" s="9"/>
      <c r="C538" s="9"/>
      <c r="D538" s="9"/>
      <c r="E538" s="9"/>
      <c r="F538" s="9"/>
      <c r="G538" s="9"/>
      <c r="H538" s="9"/>
    </row>
    <row r="539">
      <c r="A539" s="9"/>
      <c r="B539" s="9"/>
      <c r="C539" s="9"/>
      <c r="D539" s="9"/>
      <c r="E539" s="9"/>
      <c r="F539" s="9"/>
      <c r="G539" s="9"/>
      <c r="H539" s="9"/>
    </row>
    <row r="540">
      <c r="A540" s="9"/>
      <c r="B540" s="9"/>
      <c r="C540" s="9"/>
      <c r="D540" s="9"/>
      <c r="E540" s="9"/>
      <c r="F540" s="9"/>
      <c r="G540" s="9"/>
      <c r="H540" s="9"/>
    </row>
    <row r="541">
      <c r="A541" s="9"/>
      <c r="B541" s="9"/>
      <c r="C541" s="9"/>
      <c r="D541" s="9"/>
      <c r="E541" s="9"/>
      <c r="F541" s="9"/>
      <c r="G541" s="9"/>
      <c r="H541" s="9"/>
    </row>
    <row r="542">
      <c r="A542" s="9"/>
      <c r="B542" s="9"/>
      <c r="C542" s="9"/>
      <c r="D542" s="9"/>
      <c r="E542" s="9"/>
      <c r="F542" s="9"/>
      <c r="G542" s="9"/>
      <c r="H542" s="9"/>
    </row>
    <row r="543">
      <c r="A543" s="9"/>
      <c r="B543" s="9"/>
      <c r="C543" s="9"/>
      <c r="D543" s="9"/>
      <c r="E543" s="9"/>
      <c r="F543" s="9"/>
      <c r="G543" s="9"/>
      <c r="H543" s="9"/>
    </row>
    <row r="544">
      <c r="A544" s="9"/>
      <c r="B544" s="9"/>
      <c r="C544" s="9"/>
      <c r="D544" s="9"/>
      <c r="E544" s="9"/>
      <c r="F544" s="9"/>
      <c r="G544" s="9"/>
      <c r="H544" s="9"/>
    </row>
    <row r="545">
      <c r="A545" s="9"/>
      <c r="B545" s="9"/>
      <c r="C545" s="9"/>
      <c r="D545" s="9"/>
      <c r="E545" s="9"/>
      <c r="F545" s="9"/>
      <c r="G545" s="9"/>
      <c r="H545" s="9"/>
    </row>
    <row r="546">
      <c r="A546" s="9"/>
      <c r="B546" s="9"/>
      <c r="C546" s="9"/>
      <c r="D546" s="9"/>
      <c r="E546" s="9"/>
      <c r="F546" s="9"/>
      <c r="G546" s="9"/>
      <c r="H546" s="9"/>
    </row>
    <row r="547">
      <c r="A547" s="9"/>
      <c r="B547" s="9"/>
      <c r="C547" s="9"/>
      <c r="D547" s="9"/>
      <c r="E547" s="9"/>
      <c r="F547" s="9"/>
      <c r="G547" s="9"/>
      <c r="H547" s="9"/>
    </row>
    <row r="548">
      <c r="A548" s="9"/>
      <c r="B548" s="9"/>
      <c r="C548" s="9"/>
      <c r="D548" s="9"/>
      <c r="E548" s="9"/>
      <c r="F548" s="9"/>
      <c r="G548" s="9"/>
      <c r="H548" s="9"/>
    </row>
    <row r="549">
      <c r="A549" s="9"/>
      <c r="B549" s="9"/>
      <c r="C549" s="9"/>
      <c r="D549" s="9"/>
      <c r="E549" s="9"/>
      <c r="F549" s="9"/>
      <c r="G549" s="9"/>
      <c r="H549" s="9"/>
    </row>
    <row r="550">
      <c r="A550" s="9"/>
      <c r="B550" s="9"/>
      <c r="C550" s="9"/>
      <c r="D550" s="9"/>
      <c r="E550" s="9"/>
      <c r="F550" s="9"/>
      <c r="G550" s="9"/>
      <c r="H550" s="9"/>
    </row>
    <row r="551">
      <c r="A551" s="9"/>
      <c r="B551" s="9"/>
      <c r="C551" s="9"/>
      <c r="D551" s="9"/>
      <c r="E551" s="9"/>
      <c r="F551" s="9"/>
      <c r="G551" s="9"/>
      <c r="H551" s="9"/>
    </row>
    <row r="552">
      <c r="A552" s="9"/>
      <c r="B552" s="9"/>
      <c r="C552" s="9"/>
      <c r="D552" s="9"/>
      <c r="E552" s="9"/>
      <c r="F552" s="9"/>
      <c r="G552" s="9"/>
      <c r="H552" s="9"/>
    </row>
    <row r="553">
      <c r="A553" s="9"/>
      <c r="B553" s="9"/>
      <c r="C553" s="9"/>
      <c r="D553" s="9"/>
      <c r="E553" s="9"/>
      <c r="F553" s="9"/>
      <c r="G553" s="9"/>
      <c r="H553" s="9"/>
    </row>
    <row r="554">
      <c r="A554" s="9"/>
      <c r="B554" s="9"/>
      <c r="C554" s="9"/>
      <c r="D554" s="9"/>
      <c r="E554" s="9"/>
      <c r="F554" s="9"/>
      <c r="G554" s="9"/>
      <c r="H554" s="9"/>
    </row>
    <row r="555">
      <c r="A555" s="9"/>
      <c r="B555" s="9"/>
      <c r="C555" s="9"/>
      <c r="D555" s="9"/>
      <c r="E555" s="9"/>
      <c r="F555" s="9"/>
      <c r="G555" s="9"/>
      <c r="H555" s="9"/>
    </row>
    <row r="556">
      <c r="A556" s="9"/>
      <c r="B556" s="9"/>
      <c r="C556" s="9"/>
      <c r="D556" s="9"/>
      <c r="E556" s="9"/>
      <c r="F556" s="9"/>
      <c r="G556" s="9"/>
      <c r="H556" s="9"/>
    </row>
    <row r="557">
      <c r="A557" s="9"/>
      <c r="B557" s="9"/>
      <c r="C557" s="9"/>
      <c r="D557" s="9"/>
      <c r="E557" s="9"/>
      <c r="F557" s="9"/>
      <c r="G557" s="9"/>
      <c r="H557" s="9"/>
    </row>
    <row r="558">
      <c r="A558" s="9"/>
      <c r="B558" s="9"/>
      <c r="C558" s="9"/>
      <c r="D558" s="9"/>
      <c r="E558" s="9"/>
      <c r="F558" s="9"/>
      <c r="G558" s="9"/>
      <c r="H558" s="9"/>
    </row>
    <row r="559">
      <c r="A559" s="9"/>
      <c r="B559" s="9"/>
      <c r="C559" s="9"/>
      <c r="D559" s="9"/>
      <c r="E559" s="9"/>
      <c r="F559" s="9"/>
      <c r="G559" s="9"/>
      <c r="H559" s="9"/>
    </row>
    <row r="560">
      <c r="A560" s="9"/>
      <c r="B560" s="9"/>
      <c r="C560" s="9"/>
      <c r="D560" s="9"/>
      <c r="E560" s="9"/>
      <c r="F560" s="9"/>
      <c r="G560" s="9"/>
      <c r="H560" s="9"/>
    </row>
    <row r="561">
      <c r="A561" s="9"/>
      <c r="B561" s="9"/>
      <c r="C561" s="9"/>
      <c r="D561" s="9"/>
      <c r="E561" s="9"/>
      <c r="F561" s="9"/>
      <c r="G561" s="9"/>
      <c r="H561" s="9"/>
    </row>
    <row r="562">
      <c r="A562" s="9"/>
      <c r="B562" s="9"/>
      <c r="C562" s="9"/>
      <c r="D562" s="9"/>
      <c r="E562" s="9"/>
      <c r="F562" s="9"/>
      <c r="G562" s="9"/>
      <c r="H562" s="9"/>
    </row>
    <row r="563">
      <c r="A563" s="9"/>
      <c r="B563" s="9"/>
      <c r="C563" s="9"/>
      <c r="D563" s="9"/>
      <c r="E563" s="9"/>
      <c r="F563" s="9"/>
      <c r="G563" s="9"/>
      <c r="H563" s="9"/>
    </row>
    <row r="564">
      <c r="A564" s="9"/>
      <c r="B564" s="9"/>
      <c r="C564" s="9"/>
      <c r="D564" s="9"/>
      <c r="E564" s="9"/>
      <c r="F564" s="9"/>
      <c r="G564" s="9"/>
      <c r="H564" s="9"/>
    </row>
    <row r="565">
      <c r="A565" s="9"/>
      <c r="B565" s="9"/>
      <c r="C565" s="9"/>
      <c r="D565" s="9"/>
      <c r="E565" s="9"/>
      <c r="F565" s="9"/>
      <c r="G565" s="9"/>
      <c r="H565" s="9"/>
    </row>
    <row r="566">
      <c r="A566" s="9"/>
      <c r="B566" s="9"/>
      <c r="C566" s="9"/>
      <c r="D566" s="9"/>
      <c r="E566" s="9"/>
      <c r="F566" s="9"/>
      <c r="G566" s="9"/>
      <c r="H566" s="9"/>
    </row>
    <row r="567">
      <c r="A567" s="9"/>
      <c r="B567" s="9"/>
      <c r="C567" s="9"/>
      <c r="D567" s="9"/>
      <c r="E567" s="9"/>
      <c r="F567" s="9"/>
      <c r="G567" s="9"/>
      <c r="H567" s="9"/>
    </row>
    <row r="568">
      <c r="A568" s="9"/>
      <c r="B568" s="9"/>
      <c r="C568" s="9"/>
      <c r="D568" s="9"/>
      <c r="E568" s="9"/>
      <c r="F568" s="9"/>
      <c r="G568" s="9"/>
      <c r="H568" s="9"/>
    </row>
    <row r="569">
      <c r="A569" s="9"/>
      <c r="B569" s="9"/>
      <c r="C569" s="9"/>
      <c r="D569" s="9"/>
      <c r="E569" s="9"/>
      <c r="F569" s="9"/>
      <c r="G569" s="9"/>
      <c r="H569" s="9"/>
    </row>
    <row r="570">
      <c r="A570" s="9"/>
      <c r="B570" s="9"/>
      <c r="C570" s="9"/>
      <c r="D570" s="9"/>
      <c r="E570" s="9"/>
      <c r="F570" s="9"/>
      <c r="G570" s="9"/>
      <c r="H570" s="9"/>
    </row>
    <row r="571">
      <c r="A571" s="9"/>
      <c r="B571" s="9"/>
      <c r="C571" s="9"/>
      <c r="D571" s="9"/>
      <c r="E571" s="9"/>
      <c r="F571" s="9"/>
      <c r="G571" s="9"/>
      <c r="H571" s="9"/>
    </row>
    <row r="572">
      <c r="A572" s="9"/>
      <c r="B572" s="9"/>
      <c r="C572" s="9"/>
      <c r="D572" s="9"/>
      <c r="E572" s="9"/>
      <c r="F572" s="9"/>
      <c r="G572" s="9"/>
      <c r="H572" s="9"/>
    </row>
    <row r="573">
      <c r="A573" s="9"/>
      <c r="B573" s="9"/>
      <c r="C573" s="9"/>
      <c r="D573" s="9"/>
      <c r="E573" s="9"/>
      <c r="F573" s="9"/>
      <c r="G573" s="9"/>
      <c r="H573" s="9"/>
    </row>
    <row r="574">
      <c r="A574" s="9"/>
      <c r="B574" s="9"/>
      <c r="C574" s="9"/>
      <c r="D574" s="9"/>
      <c r="E574" s="9"/>
      <c r="F574" s="9"/>
      <c r="G574" s="9"/>
      <c r="H574" s="9"/>
    </row>
    <row r="575">
      <c r="A575" s="9"/>
      <c r="B575" s="9"/>
      <c r="C575" s="9"/>
      <c r="D575" s="9"/>
      <c r="E575" s="9"/>
      <c r="F575" s="9"/>
      <c r="G575" s="9"/>
      <c r="H575" s="9"/>
    </row>
    <row r="576">
      <c r="A576" s="9"/>
      <c r="B576" s="9"/>
      <c r="C576" s="9"/>
      <c r="D576" s="9"/>
      <c r="E576" s="9"/>
      <c r="F576" s="9"/>
      <c r="G576" s="9"/>
      <c r="H576" s="9"/>
    </row>
    <row r="577">
      <c r="A577" s="9"/>
      <c r="B577" s="9"/>
      <c r="C577" s="9"/>
      <c r="D577" s="9"/>
      <c r="E577" s="9"/>
      <c r="F577" s="9"/>
      <c r="G577" s="9"/>
      <c r="H577" s="9"/>
    </row>
    <row r="578">
      <c r="A578" s="9"/>
      <c r="B578" s="9"/>
      <c r="C578" s="9"/>
      <c r="D578" s="9"/>
      <c r="E578" s="9"/>
      <c r="F578" s="9"/>
      <c r="G578" s="9"/>
      <c r="H578" s="9"/>
    </row>
    <row r="579">
      <c r="A579" s="9"/>
      <c r="B579" s="9"/>
      <c r="C579" s="9"/>
      <c r="D579" s="9"/>
      <c r="E579" s="9"/>
      <c r="F579" s="9"/>
      <c r="G579" s="9"/>
      <c r="H579" s="9"/>
    </row>
    <row r="580">
      <c r="A580" s="9"/>
      <c r="B580" s="9"/>
      <c r="C580" s="9"/>
      <c r="D580" s="9"/>
      <c r="E580" s="9"/>
      <c r="F580" s="9"/>
      <c r="G580" s="9"/>
      <c r="H580" s="9"/>
    </row>
    <row r="581">
      <c r="A581" s="9"/>
      <c r="B581" s="9"/>
      <c r="C581" s="9"/>
      <c r="D581" s="9"/>
      <c r="E581" s="9"/>
      <c r="F581" s="9"/>
      <c r="G581" s="9"/>
      <c r="H581" s="9"/>
    </row>
    <row r="582">
      <c r="A582" s="9"/>
      <c r="B582" s="9"/>
      <c r="C582" s="9"/>
      <c r="D582" s="9"/>
      <c r="E582" s="9"/>
      <c r="F582" s="9"/>
      <c r="G582" s="9"/>
      <c r="H582" s="9"/>
    </row>
    <row r="583">
      <c r="A583" s="9"/>
      <c r="B583" s="9"/>
      <c r="C583" s="9"/>
      <c r="D583" s="9"/>
      <c r="E583" s="9"/>
      <c r="F583" s="9"/>
      <c r="G583" s="9"/>
      <c r="H583" s="9"/>
    </row>
    <row r="584">
      <c r="A584" s="9"/>
      <c r="B584" s="9"/>
      <c r="C584" s="9"/>
      <c r="D584" s="9"/>
      <c r="E584" s="9"/>
      <c r="F584" s="9"/>
      <c r="G584" s="9"/>
      <c r="H584" s="9"/>
    </row>
    <row r="585">
      <c r="A585" s="9"/>
      <c r="B585" s="9"/>
      <c r="C585" s="9"/>
      <c r="D585" s="9"/>
      <c r="E585" s="9"/>
      <c r="F585" s="9"/>
      <c r="G585" s="9"/>
      <c r="H585" s="9"/>
    </row>
    <row r="586">
      <c r="A586" s="9"/>
      <c r="B586" s="9"/>
      <c r="C586" s="9"/>
      <c r="D586" s="9"/>
      <c r="E586" s="9"/>
      <c r="F586" s="9"/>
      <c r="G586" s="9"/>
      <c r="H586" s="9"/>
    </row>
    <row r="587">
      <c r="A587" s="9"/>
      <c r="B587" s="9"/>
      <c r="C587" s="9"/>
      <c r="D587" s="9"/>
      <c r="E587" s="9"/>
      <c r="F587" s="9"/>
      <c r="G587" s="9"/>
      <c r="H587" s="9"/>
    </row>
    <row r="588">
      <c r="A588" s="9"/>
      <c r="B588" s="9"/>
      <c r="C588" s="9"/>
      <c r="D588" s="9"/>
      <c r="E588" s="9"/>
      <c r="F588" s="9"/>
      <c r="G588" s="9"/>
      <c r="H588" s="9"/>
    </row>
    <row r="589">
      <c r="A589" s="9"/>
      <c r="B589" s="9"/>
      <c r="C589" s="9"/>
      <c r="D589" s="9"/>
      <c r="E589" s="9"/>
      <c r="F589" s="9"/>
      <c r="G589" s="9"/>
      <c r="H589" s="9"/>
    </row>
    <row r="590">
      <c r="A590" s="9"/>
      <c r="B590" s="9"/>
      <c r="C590" s="9"/>
      <c r="D590" s="9"/>
      <c r="E590" s="9"/>
      <c r="F590" s="9"/>
      <c r="G590" s="9"/>
      <c r="H590" s="9"/>
    </row>
    <row r="591">
      <c r="A591" s="9"/>
      <c r="B591" s="9"/>
      <c r="C591" s="9"/>
      <c r="D591" s="9"/>
      <c r="E591" s="9"/>
      <c r="F591" s="9"/>
      <c r="G591" s="9"/>
      <c r="H591" s="9"/>
    </row>
    <row r="592">
      <c r="A592" s="9"/>
      <c r="B592" s="9"/>
      <c r="C592" s="9"/>
      <c r="D592" s="9"/>
      <c r="E592" s="9"/>
      <c r="F592" s="9"/>
      <c r="G592" s="9"/>
      <c r="H592" s="9"/>
    </row>
    <row r="593">
      <c r="A593" s="9"/>
      <c r="B593" s="9"/>
      <c r="C593" s="9"/>
      <c r="D593" s="9"/>
      <c r="E593" s="9"/>
      <c r="F593" s="9"/>
      <c r="G593" s="9"/>
      <c r="H593" s="9"/>
    </row>
    <row r="594">
      <c r="A594" s="9"/>
      <c r="B594" s="9"/>
      <c r="C594" s="9"/>
      <c r="D594" s="9"/>
      <c r="E594" s="9"/>
      <c r="F594" s="9"/>
      <c r="G594" s="9"/>
      <c r="H594" s="9"/>
    </row>
    <row r="595">
      <c r="A595" s="9"/>
      <c r="B595" s="9"/>
      <c r="C595" s="9"/>
      <c r="D595" s="9"/>
      <c r="E595" s="9"/>
      <c r="F595" s="9"/>
      <c r="G595" s="9"/>
      <c r="H595" s="9"/>
    </row>
    <row r="596">
      <c r="A596" s="9"/>
      <c r="B596" s="9"/>
      <c r="C596" s="9"/>
      <c r="D596" s="9"/>
      <c r="E596" s="9"/>
      <c r="F596" s="9"/>
      <c r="G596" s="9"/>
      <c r="H596" s="9"/>
    </row>
    <row r="597">
      <c r="A597" s="9"/>
      <c r="B597" s="9"/>
      <c r="C597" s="9"/>
      <c r="D597" s="9"/>
      <c r="E597" s="9"/>
      <c r="F597" s="9"/>
      <c r="G597" s="9"/>
      <c r="H597" s="9"/>
    </row>
    <row r="598">
      <c r="A598" s="9"/>
      <c r="B598" s="9"/>
      <c r="C598" s="9"/>
      <c r="D598" s="9"/>
      <c r="E598" s="9"/>
      <c r="F598" s="9"/>
      <c r="G598" s="9"/>
      <c r="H598" s="9"/>
    </row>
    <row r="599">
      <c r="A599" s="9"/>
      <c r="B599" s="9"/>
      <c r="C599" s="9"/>
      <c r="D599" s="9"/>
      <c r="E599" s="9"/>
      <c r="F599" s="9"/>
      <c r="G599" s="9"/>
      <c r="H599" s="9"/>
    </row>
    <row r="600">
      <c r="A600" s="9"/>
      <c r="B600" s="9"/>
      <c r="C600" s="9"/>
      <c r="D600" s="9"/>
      <c r="E600" s="9"/>
      <c r="F600" s="9"/>
      <c r="G600" s="9"/>
      <c r="H600" s="9"/>
    </row>
    <row r="601">
      <c r="A601" s="9"/>
      <c r="B601" s="9"/>
      <c r="C601" s="9"/>
      <c r="D601" s="9"/>
      <c r="E601" s="9"/>
      <c r="F601" s="9"/>
      <c r="G601" s="9"/>
      <c r="H601" s="9"/>
    </row>
    <row r="602">
      <c r="A602" s="9"/>
      <c r="B602" s="9"/>
      <c r="C602" s="9"/>
      <c r="D602" s="9"/>
      <c r="E602" s="9"/>
      <c r="F602" s="9"/>
      <c r="G602" s="9"/>
      <c r="H602" s="9"/>
    </row>
    <row r="603">
      <c r="A603" s="9"/>
      <c r="B603" s="9"/>
      <c r="C603" s="9"/>
      <c r="D603" s="9"/>
      <c r="E603" s="9"/>
      <c r="F603" s="9"/>
      <c r="G603" s="9"/>
      <c r="H603" s="9"/>
    </row>
    <row r="604">
      <c r="A604" s="9"/>
      <c r="B604" s="9"/>
      <c r="C604" s="9"/>
      <c r="D604" s="9"/>
      <c r="E604" s="9"/>
      <c r="F604" s="9"/>
      <c r="G604" s="9"/>
      <c r="H604" s="9"/>
    </row>
    <row r="605">
      <c r="A605" s="9"/>
      <c r="B605" s="9"/>
      <c r="C605" s="9"/>
      <c r="D605" s="9"/>
      <c r="E605" s="9"/>
      <c r="F605" s="9"/>
      <c r="G605" s="9"/>
      <c r="H605" s="9"/>
    </row>
    <row r="606">
      <c r="A606" s="9"/>
      <c r="B606" s="9"/>
      <c r="C606" s="9"/>
      <c r="D606" s="9"/>
      <c r="E606" s="9"/>
      <c r="F606" s="9"/>
      <c r="G606" s="9"/>
      <c r="H606" s="9"/>
    </row>
    <row r="607">
      <c r="A607" s="9"/>
      <c r="B607" s="9"/>
      <c r="C607" s="9"/>
      <c r="D607" s="9"/>
      <c r="E607" s="9"/>
      <c r="F607" s="9"/>
      <c r="G607" s="9"/>
      <c r="H607" s="9"/>
    </row>
    <row r="608">
      <c r="A608" s="9"/>
      <c r="B608" s="9"/>
      <c r="C608" s="9"/>
      <c r="D608" s="9"/>
      <c r="E608" s="9"/>
      <c r="F608" s="9"/>
      <c r="G608" s="9"/>
      <c r="H608" s="9"/>
    </row>
    <row r="609">
      <c r="A609" s="9"/>
      <c r="B609" s="9"/>
      <c r="C609" s="9"/>
      <c r="D609" s="9"/>
      <c r="E609" s="9"/>
      <c r="F609" s="9"/>
      <c r="G609" s="9"/>
      <c r="H609" s="9"/>
    </row>
    <row r="610">
      <c r="A610" s="9"/>
      <c r="B610" s="9"/>
      <c r="C610" s="9"/>
      <c r="D610" s="9"/>
      <c r="E610" s="9"/>
      <c r="F610" s="9"/>
      <c r="G610" s="9"/>
      <c r="H610" s="9"/>
    </row>
    <row r="611">
      <c r="A611" s="9"/>
      <c r="B611" s="9"/>
      <c r="C611" s="9"/>
      <c r="D611" s="9"/>
      <c r="E611" s="9"/>
      <c r="F611" s="9"/>
      <c r="G611" s="9"/>
      <c r="H611" s="9"/>
    </row>
    <row r="612">
      <c r="A612" s="9"/>
      <c r="B612" s="9"/>
      <c r="C612" s="9"/>
      <c r="D612" s="9"/>
      <c r="E612" s="9"/>
      <c r="F612" s="9"/>
      <c r="G612" s="9"/>
      <c r="H612" s="9"/>
    </row>
    <row r="613">
      <c r="A613" s="9"/>
      <c r="B613" s="9"/>
      <c r="C613" s="9"/>
      <c r="D613" s="9"/>
      <c r="E613" s="9"/>
      <c r="F613" s="9"/>
      <c r="G613" s="9"/>
      <c r="H613" s="9"/>
    </row>
    <row r="614">
      <c r="A614" s="9"/>
      <c r="B614" s="9"/>
      <c r="C614" s="9"/>
      <c r="D614" s="9"/>
      <c r="E614" s="9"/>
      <c r="F614" s="9"/>
      <c r="G614" s="9"/>
      <c r="H614" s="9"/>
    </row>
    <row r="615">
      <c r="A615" s="9"/>
      <c r="B615" s="9"/>
      <c r="C615" s="9"/>
      <c r="D615" s="9"/>
      <c r="E615" s="9"/>
      <c r="F615" s="9"/>
      <c r="G615" s="9"/>
      <c r="H615" s="9"/>
    </row>
    <row r="616">
      <c r="A616" s="9"/>
      <c r="B616" s="9"/>
      <c r="C616" s="9"/>
      <c r="D616" s="9"/>
      <c r="E616" s="9"/>
      <c r="F616" s="9"/>
      <c r="G616" s="9"/>
      <c r="H616" s="9"/>
    </row>
    <row r="617">
      <c r="A617" s="9"/>
      <c r="B617" s="9"/>
      <c r="C617" s="9"/>
      <c r="D617" s="9"/>
      <c r="E617" s="9"/>
      <c r="F617" s="9"/>
      <c r="G617" s="9"/>
      <c r="H617" s="9"/>
    </row>
    <row r="618">
      <c r="A618" s="9"/>
      <c r="B618" s="9"/>
      <c r="C618" s="9"/>
      <c r="D618" s="9"/>
      <c r="E618" s="9"/>
      <c r="F618" s="9"/>
      <c r="G618" s="9"/>
      <c r="H618" s="9"/>
    </row>
    <row r="619">
      <c r="A619" s="9"/>
      <c r="B619" s="9"/>
      <c r="C619" s="9"/>
      <c r="D619" s="9"/>
      <c r="E619" s="9"/>
      <c r="F619" s="9"/>
      <c r="G619" s="9"/>
      <c r="H619" s="9"/>
    </row>
    <row r="620">
      <c r="A620" s="9"/>
      <c r="B620" s="9"/>
      <c r="C620" s="9"/>
      <c r="D620" s="9"/>
      <c r="E620" s="9"/>
      <c r="F620" s="9"/>
      <c r="G620" s="9"/>
      <c r="H620" s="9"/>
    </row>
    <row r="621">
      <c r="A621" s="9"/>
      <c r="B621" s="9"/>
      <c r="C621" s="9"/>
      <c r="D621" s="9"/>
      <c r="E621" s="9"/>
      <c r="F621" s="9"/>
      <c r="G621" s="9"/>
      <c r="H621" s="9"/>
    </row>
    <row r="622">
      <c r="A622" s="9"/>
      <c r="B622" s="9"/>
      <c r="C622" s="9"/>
      <c r="D622" s="9"/>
      <c r="E622" s="9"/>
      <c r="F622" s="9"/>
      <c r="G622" s="9"/>
      <c r="H622" s="9"/>
    </row>
    <row r="623">
      <c r="A623" s="9"/>
      <c r="B623" s="9"/>
      <c r="C623" s="9"/>
      <c r="D623" s="9"/>
      <c r="E623" s="9"/>
      <c r="F623" s="9"/>
      <c r="G623" s="9"/>
      <c r="H623" s="9"/>
    </row>
    <row r="624">
      <c r="A624" s="9"/>
      <c r="B624" s="9"/>
      <c r="C624" s="9"/>
      <c r="D624" s="9"/>
      <c r="E624" s="9"/>
      <c r="F624" s="9"/>
      <c r="G624" s="9"/>
      <c r="H624" s="9"/>
    </row>
    <row r="625">
      <c r="A625" s="9"/>
      <c r="B625" s="9"/>
      <c r="C625" s="9"/>
      <c r="D625" s="9"/>
      <c r="E625" s="9"/>
      <c r="F625" s="9"/>
      <c r="G625" s="9"/>
      <c r="H625" s="9"/>
    </row>
    <row r="626">
      <c r="A626" s="9"/>
      <c r="B626" s="9"/>
      <c r="C626" s="9"/>
      <c r="D626" s="9"/>
      <c r="E626" s="9"/>
      <c r="F626" s="9"/>
      <c r="G626" s="9"/>
      <c r="H626" s="9"/>
    </row>
    <row r="627">
      <c r="A627" s="9"/>
      <c r="B627" s="9"/>
      <c r="C627" s="9"/>
      <c r="D627" s="9"/>
      <c r="E627" s="9"/>
      <c r="F627" s="9"/>
      <c r="G627" s="9"/>
      <c r="H627" s="9"/>
    </row>
    <row r="628">
      <c r="A628" s="9"/>
      <c r="B628" s="9"/>
      <c r="C628" s="9"/>
      <c r="D628" s="9"/>
      <c r="E628" s="9"/>
      <c r="F628" s="9"/>
      <c r="G628" s="9"/>
      <c r="H628" s="9"/>
    </row>
    <row r="629">
      <c r="A629" s="9"/>
      <c r="B629" s="9"/>
      <c r="C629" s="9"/>
      <c r="D629" s="9"/>
      <c r="E629" s="9"/>
      <c r="F629" s="9"/>
      <c r="G629" s="9"/>
      <c r="H629" s="9"/>
    </row>
    <row r="630">
      <c r="A630" s="9"/>
      <c r="B630" s="9"/>
      <c r="C630" s="9"/>
      <c r="D630" s="9"/>
      <c r="E630" s="9"/>
      <c r="F630" s="9"/>
      <c r="G630" s="9"/>
      <c r="H630" s="9"/>
    </row>
    <row r="631">
      <c r="A631" s="9"/>
      <c r="B631" s="9"/>
      <c r="C631" s="9"/>
      <c r="D631" s="9"/>
      <c r="E631" s="9"/>
      <c r="F631" s="9"/>
      <c r="G631" s="9"/>
      <c r="H631" s="9"/>
    </row>
    <row r="632">
      <c r="A632" s="9"/>
      <c r="B632" s="9"/>
      <c r="C632" s="9"/>
      <c r="D632" s="9"/>
      <c r="E632" s="9"/>
      <c r="F632" s="9"/>
      <c r="G632" s="9"/>
      <c r="H632" s="9"/>
    </row>
    <row r="633">
      <c r="A633" s="9"/>
      <c r="B633" s="9"/>
      <c r="C633" s="9"/>
      <c r="D633" s="9"/>
      <c r="E633" s="9"/>
      <c r="F633" s="9"/>
      <c r="G633" s="9"/>
      <c r="H633" s="9"/>
    </row>
    <row r="634">
      <c r="A634" s="9"/>
      <c r="B634" s="9"/>
      <c r="C634" s="9"/>
      <c r="D634" s="9"/>
      <c r="E634" s="9"/>
      <c r="F634" s="9"/>
      <c r="G634" s="9"/>
      <c r="H634" s="9"/>
    </row>
    <row r="635">
      <c r="A635" s="9"/>
      <c r="B635" s="9"/>
      <c r="C635" s="9"/>
      <c r="D635" s="9"/>
      <c r="E635" s="9"/>
      <c r="F635" s="9"/>
      <c r="G635" s="9"/>
      <c r="H635" s="9"/>
    </row>
    <row r="636">
      <c r="A636" s="9"/>
      <c r="B636" s="9"/>
      <c r="C636" s="9"/>
      <c r="D636" s="9"/>
      <c r="E636" s="9"/>
      <c r="F636" s="9"/>
      <c r="G636" s="9"/>
      <c r="H636" s="9"/>
    </row>
    <row r="637">
      <c r="A637" s="9"/>
      <c r="B637" s="9"/>
      <c r="C637" s="9"/>
      <c r="D637" s="9"/>
      <c r="E637" s="9"/>
      <c r="F637" s="9"/>
      <c r="G637" s="9"/>
      <c r="H637" s="9"/>
    </row>
    <row r="638">
      <c r="A638" s="9"/>
      <c r="B638" s="9"/>
      <c r="C638" s="9"/>
      <c r="D638" s="9"/>
      <c r="E638" s="9"/>
      <c r="F638" s="9"/>
      <c r="G638" s="9"/>
      <c r="H638" s="9"/>
    </row>
    <row r="639">
      <c r="A639" s="9"/>
      <c r="B639" s="9"/>
      <c r="C639" s="9"/>
      <c r="D639" s="9"/>
      <c r="E639" s="9"/>
      <c r="F639" s="9"/>
      <c r="G639" s="9"/>
      <c r="H639" s="9"/>
    </row>
    <row r="640">
      <c r="A640" s="9"/>
      <c r="B640" s="9"/>
      <c r="C640" s="9"/>
      <c r="D640" s="9"/>
      <c r="E640" s="9"/>
      <c r="F640" s="9"/>
      <c r="G640" s="9"/>
      <c r="H640" s="9"/>
    </row>
    <row r="641">
      <c r="A641" s="9"/>
      <c r="B641" s="9"/>
      <c r="C641" s="9"/>
      <c r="D641" s="9"/>
      <c r="E641" s="9"/>
      <c r="F641" s="9"/>
      <c r="G641" s="9"/>
      <c r="H641" s="9"/>
    </row>
    <row r="642">
      <c r="A642" s="9"/>
      <c r="B642" s="9"/>
      <c r="C642" s="9"/>
      <c r="D642" s="9"/>
      <c r="E642" s="9"/>
      <c r="F642" s="9"/>
      <c r="G642" s="9"/>
      <c r="H642" s="9"/>
    </row>
    <row r="643">
      <c r="A643" s="9"/>
      <c r="B643" s="9"/>
      <c r="C643" s="9"/>
      <c r="D643" s="9"/>
      <c r="E643" s="9"/>
      <c r="F643" s="9"/>
      <c r="G643" s="9"/>
      <c r="H643" s="9"/>
    </row>
    <row r="644">
      <c r="A644" s="9"/>
      <c r="B644" s="9"/>
      <c r="C644" s="9"/>
      <c r="D644" s="9"/>
      <c r="E644" s="9"/>
      <c r="F644" s="9"/>
      <c r="G644" s="9"/>
      <c r="H644" s="9"/>
    </row>
    <row r="645">
      <c r="A645" s="9"/>
      <c r="B645" s="9"/>
      <c r="C645" s="9"/>
      <c r="D645" s="9"/>
      <c r="E645" s="9"/>
      <c r="F645" s="9"/>
      <c r="G645" s="9"/>
      <c r="H645" s="9"/>
    </row>
    <row r="646">
      <c r="A646" s="9"/>
      <c r="B646" s="9"/>
      <c r="C646" s="9"/>
      <c r="D646" s="9"/>
      <c r="E646" s="9"/>
      <c r="F646" s="9"/>
      <c r="G646" s="9"/>
      <c r="H646" s="9"/>
    </row>
    <row r="647">
      <c r="A647" s="9"/>
      <c r="B647" s="9"/>
      <c r="C647" s="9"/>
      <c r="D647" s="9"/>
      <c r="E647" s="9"/>
      <c r="F647" s="9"/>
      <c r="G647" s="9"/>
      <c r="H647" s="9"/>
    </row>
    <row r="648">
      <c r="A648" s="9"/>
      <c r="B648" s="9"/>
      <c r="C648" s="9"/>
      <c r="D648" s="9"/>
      <c r="E648" s="9"/>
      <c r="F648" s="9"/>
      <c r="G648" s="9"/>
      <c r="H648" s="9"/>
    </row>
    <row r="649">
      <c r="A649" s="9"/>
      <c r="B649" s="9"/>
      <c r="C649" s="9"/>
      <c r="D649" s="9"/>
      <c r="E649" s="9"/>
      <c r="F649" s="9"/>
      <c r="G649" s="9"/>
      <c r="H649" s="9"/>
    </row>
    <row r="650">
      <c r="A650" s="9"/>
      <c r="B650" s="9"/>
      <c r="C650" s="9"/>
      <c r="D650" s="9"/>
      <c r="E650" s="9"/>
      <c r="F650" s="9"/>
      <c r="G650" s="9"/>
      <c r="H650" s="9"/>
    </row>
    <row r="651">
      <c r="A651" s="9"/>
      <c r="B651" s="9"/>
      <c r="C651" s="9"/>
      <c r="D651" s="9"/>
      <c r="E651" s="9"/>
      <c r="F651" s="9"/>
      <c r="G651" s="9"/>
      <c r="H651" s="9"/>
    </row>
    <row r="652">
      <c r="A652" s="9"/>
      <c r="B652" s="9"/>
      <c r="C652" s="9"/>
      <c r="D652" s="9"/>
      <c r="E652" s="9"/>
      <c r="F652" s="9"/>
      <c r="G652" s="9"/>
      <c r="H652" s="9"/>
    </row>
    <row r="653">
      <c r="A653" s="9"/>
      <c r="B653" s="9"/>
      <c r="C653" s="9"/>
      <c r="D653" s="9"/>
      <c r="E653" s="9"/>
      <c r="F653" s="9"/>
      <c r="G653" s="9"/>
      <c r="H653" s="9"/>
    </row>
    <row r="654">
      <c r="A654" s="9"/>
      <c r="B654" s="9"/>
      <c r="C654" s="9"/>
      <c r="D654" s="9"/>
      <c r="E654" s="9"/>
      <c r="F654" s="9"/>
      <c r="G654" s="9"/>
      <c r="H654" s="9"/>
    </row>
    <row r="655">
      <c r="A655" s="9"/>
      <c r="B655" s="9"/>
      <c r="C655" s="9"/>
      <c r="D655" s="9"/>
      <c r="E655" s="9"/>
      <c r="F655" s="9"/>
      <c r="G655" s="9"/>
      <c r="H655" s="9"/>
    </row>
    <row r="656">
      <c r="A656" s="9"/>
      <c r="B656" s="9"/>
      <c r="C656" s="9"/>
      <c r="D656" s="9"/>
      <c r="E656" s="9"/>
      <c r="F656" s="9"/>
      <c r="G656" s="9"/>
      <c r="H656" s="9"/>
    </row>
    <row r="657">
      <c r="A657" s="9"/>
      <c r="B657" s="9"/>
      <c r="C657" s="9"/>
      <c r="D657" s="9"/>
      <c r="E657" s="9"/>
      <c r="F657" s="9"/>
      <c r="G657" s="9"/>
      <c r="H657" s="9"/>
    </row>
    <row r="658">
      <c r="A658" s="9"/>
      <c r="B658" s="9"/>
      <c r="C658" s="9"/>
      <c r="D658" s="9"/>
      <c r="E658" s="9"/>
      <c r="F658" s="9"/>
      <c r="G658" s="9"/>
      <c r="H658" s="9"/>
    </row>
    <row r="659">
      <c r="A659" s="9"/>
      <c r="B659" s="9"/>
      <c r="C659" s="9"/>
      <c r="D659" s="9"/>
      <c r="E659" s="9"/>
      <c r="F659" s="9"/>
      <c r="G659" s="9"/>
      <c r="H659" s="9"/>
    </row>
    <row r="660">
      <c r="A660" s="9"/>
      <c r="B660" s="9"/>
      <c r="C660" s="9"/>
      <c r="D660" s="9"/>
      <c r="E660" s="9"/>
      <c r="F660" s="9"/>
      <c r="G660" s="9"/>
      <c r="H660" s="9"/>
    </row>
    <row r="661">
      <c r="A661" s="9"/>
      <c r="B661" s="9"/>
      <c r="C661" s="9"/>
      <c r="D661" s="9"/>
      <c r="E661" s="9"/>
      <c r="F661" s="9"/>
      <c r="G661" s="9"/>
      <c r="H661" s="9"/>
    </row>
    <row r="662">
      <c r="A662" s="9"/>
      <c r="B662" s="9"/>
      <c r="C662" s="9"/>
      <c r="D662" s="9"/>
      <c r="E662" s="9"/>
      <c r="F662" s="9"/>
      <c r="G662" s="9"/>
      <c r="H662" s="9"/>
    </row>
    <row r="663">
      <c r="A663" s="9"/>
      <c r="B663" s="9"/>
      <c r="C663" s="9"/>
      <c r="D663" s="9"/>
      <c r="E663" s="9"/>
      <c r="F663" s="9"/>
      <c r="G663" s="9"/>
      <c r="H663" s="9"/>
    </row>
    <row r="664">
      <c r="A664" s="9"/>
      <c r="B664" s="9"/>
      <c r="C664" s="9"/>
      <c r="D664" s="9"/>
      <c r="E664" s="9"/>
      <c r="F664" s="9"/>
      <c r="G664" s="9"/>
      <c r="H664" s="9"/>
    </row>
    <row r="665">
      <c r="A665" s="9"/>
      <c r="B665" s="9"/>
      <c r="C665" s="9"/>
      <c r="D665" s="9"/>
      <c r="E665" s="9"/>
      <c r="F665" s="9"/>
      <c r="G665" s="9"/>
      <c r="H665" s="9"/>
    </row>
    <row r="666">
      <c r="A666" s="9"/>
      <c r="B666" s="9"/>
      <c r="C666" s="9"/>
      <c r="D666" s="9"/>
      <c r="E666" s="9"/>
      <c r="F666" s="9"/>
      <c r="G666" s="9"/>
      <c r="H666" s="9"/>
    </row>
    <row r="667">
      <c r="A667" s="9"/>
      <c r="B667" s="9"/>
      <c r="C667" s="9"/>
      <c r="D667" s="9"/>
      <c r="E667" s="9"/>
      <c r="F667" s="9"/>
      <c r="G667" s="9"/>
      <c r="H667" s="9"/>
    </row>
    <row r="668">
      <c r="A668" s="9"/>
      <c r="B668" s="9"/>
      <c r="C668" s="9"/>
      <c r="D668" s="9"/>
      <c r="E668" s="9"/>
      <c r="F668" s="9"/>
      <c r="G668" s="9"/>
      <c r="H668" s="9"/>
    </row>
    <row r="669">
      <c r="A669" s="9"/>
      <c r="B669" s="9"/>
      <c r="C669" s="9"/>
      <c r="D669" s="9"/>
      <c r="E669" s="9"/>
      <c r="F669" s="9"/>
      <c r="G669" s="9"/>
      <c r="H669" s="9"/>
    </row>
    <row r="670">
      <c r="A670" s="9"/>
      <c r="B670" s="9"/>
      <c r="C670" s="9"/>
      <c r="D670" s="9"/>
      <c r="E670" s="9"/>
      <c r="F670" s="9"/>
      <c r="G670" s="9"/>
      <c r="H670" s="9"/>
    </row>
    <row r="671">
      <c r="A671" s="9"/>
      <c r="B671" s="9"/>
      <c r="C671" s="9"/>
      <c r="D671" s="9"/>
      <c r="E671" s="9"/>
      <c r="F671" s="9"/>
      <c r="G671" s="9"/>
      <c r="H671" s="9"/>
    </row>
    <row r="672">
      <c r="A672" s="9"/>
      <c r="B672" s="9"/>
      <c r="C672" s="9"/>
      <c r="D672" s="9"/>
      <c r="E672" s="9"/>
      <c r="F672" s="9"/>
      <c r="G672" s="9"/>
      <c r="H672" s="9"/>
    </row>
    <row r="673">
      <c r="A673" s="9"/>
      <c r="B673" s="9"/>
      <c r="C673" s="9"/>
      <c r="D673" s="9"/>
      <c r="E673" s="9"/>
      <c r="F673" s="9"/>
      <c r="G673" s="9"/>
      <c r="H673" s="9"/>
    </row>
    <row r="674">
      <c r="A674" s="9"/>
      <c r="B674" s="9"/>
      <c r="C674" s="9"/>
      <c r="D674" s="9"/>
      <c r="E674" s="9"/>
      <c r="F674" s="9"/>
      <c r="G674" s="9"/>
      <c r="H674" s="9"/>
    </row>
    <row r="675">
      <c r="A675" s="9"/>
      <c r="B675" s="9"/>
      <c r="C675" s="9"/>
      <c r="D675" s="9"/>
      <c r="E675" s="9"/>
      <c r="F675" s="9"/>
      <c r="G675" s="9"/>
      <c r="H675" s="9"/>
    </row>
    <row r="676">
      <c r="A676" s="9"/>
      <c r="B676" s="9"/>
      <c r="C676" s="9"/>
      <c r="D676" s="9"/>
      <c r="E676" s="9"/>
      <c r="F676" s="9"/>
      <c r="G676" s="9"/>
      <c r="H676" s="9"/>
    </row>
    <row r="677">
      <c r="A677" s="9"/>
      <c r="B677" s="9"/>
      <c r="C677" s="9"/>
      <c r="D677" s="9"/>
      <c r="E677" s="9"/>
      <c r="F677" s="9"/>
      <c r="G677" s="9"/>
      <c r="H677" s="9"/>
    </row>
    <row r="678">
      <c r="A678" s="9"/>
      <c r="B678" s="9"/>
      <c r="C678" s="9"/>
      <c r="D678" s="9"/>
      <c r="E678" s="9"/>
      <c r="F678" s="9"/>
      <c r="G678" s="9"/>
      <c r="H678" s="9"/>
    </row>
    <row r="679">
      <c r="A679" s="9"/>
      <c r="B679" s="9"/>
      <c r="C679" s="9"/>
      <c r="D679" s="9"/>
      <c r="E679" s="9"/>
      <c r="F679" s="9"/>
      <c r="G679" s="9"/>
      <c r="H679" s="9"/>
    </row>
    <row r="680">
      <c r="A680" s="9"/>
      <c r="B680" s="9"/>
      <c r="C680" s="9"/>
      <c r="D680" s="9"/>
      <c r="E680" s="9"/>
      <c r="F680" s="9"/>
      <c r="G680" s="9"/>
      <c r="H680" s="9"/>
    </row>
    <row r="681">
      <c r="A681" s="9"/>
      <c r="B681" s="9"/>
      <c r="C681" s="9"/>
      <c r="D681" s="9"/>
      <c r="E681" s="9"/>
      <c r="F681" s="9"/>
      <c r="G681" s="9"/>
      <c r="H681" s="9"/>
    </row>
    <row r="682">
      <c r="A682" s="9"/>
      <c r="B682" s="9"/>
      <c r="C682" s="9"/>
      <c r="D682" s="9"/>
      <c r="E682" s="9"/>
      <c r="F682" s="9"/>
      <c r="G682" s="9"/>
      <c r="H682" s="9"/>
    </row>
    <row r="683">
      <c r="A683" s="9"/>
      <c r="B683" s="9"/>
      <c r="C683" s="9"/>
      <c r="D683" s="9"/>
      <c r="E683" s="9"/>
      <c r="F683" s="9"/>
      <c r="G683" s="9"/>
      <c r="H683" s="9"/>
    </row>
    <row r="684">
      <c r="A684" s="9"/>
      <c r="B684" s="9"/>
      <c r="C684" s="9"/>
      <c r="D684" s="9"/>
      <c r="E684" s="9"/>
      <c r="F684" s="9"/>
      <c r="G684" s="9"/>
      <c r="H684" s="9"/>
    </row>
    <row r="685">
      <c r="A685" s="9"/>
      <c r="B685" s="9"/>
      <c r="C685" s="9"/>
      <c r="D685" s="9"/>
      <c r="E685" s="9"/>
      <c r="F685" s="9"/>
      <c r="G685" s="9"/>
      <c r="H685" s="9"/>
    </row>
    <row r="686">
      <c r="A686" s="9"/>
      <c r="B686" s="9"/>
      <c r="C686" s="9"/>
      <c r="D686" s="9"/>
      <c r="E686" s="9"/>
      <c r="F686" s="9"/>
      <c r="G686" s="9"/>
      <c r="H686" s="9"/>
    </row>
    <row r="687">
      <c r="A687" s="9"/>
      <c r="B687" s="9"/>
      <c r="C687" s="9"/>
      <c r="D687" s="9"/>
      <c r="E687" s="9"/>
      <c r="F687" s="9"/>
      <c r="G687" s="9"/>
      <c r="H687" s="9"/>
    </row>
    <row r="688">
      <c r="A688" s="9"/>
      <c r="B688" s="9"/>
      <c r="C688" s="9"/>
      <c r="D688" s="9"/>
      <c r="E688" s="9"/>
      <c r="F688" s="9"/>
      <c r="G688" s="9"/>
      <c r="H688" s="9"/>
    </row>
    <row r="689">
      <c r="A689" s="9"/>
      <c r="B689" s="9"/>
      <c r="C689" s="9"/>
      <c r="D689" s="9"/>
      <c r="E689" s="9"/>
      <c r="F689" s="9"/>
      <c r="G689" s="9"/>
      <c r="H689" s="9"/>
    </row>
    <row r="690">
      <c r="A690" s="9"/>
      <c r="B690" s="9"/>
      <c r="C690" s="9"/>
      <c r="D690" s="9"/>
      <c r="E690" s="9"/>
      <c r="F690" s="9"/>
      <c r="G690" s="9"/>
      <c r="H690" s="9"/>
    </row>
    <row r="691">
      <c r="A691" s="9"/>
      <c r="B691" s="9"/>
      <c r="C691" s="9"/>
      <c r="D691" s="9"/>
      <c r="E691" s="9"/>
      <c r="F691" s="9"/>
      <c r="G691" s="9"/>
      <c r="H691" s="9"/>
    </row>
    <row r="692">
      <c r="A692" s="9"/>
      <c r="B692" s="9"/>
      <c r="C692" s="9"/>
      <c r="D692" s="9"/>
      <c r="E692" s="9"/>
      <c r="F692" s="9"/>
      <c r="G692" s="9"/>
      <c r="H692" s="9"/>
    </row>
    <row r="693">
      <c r="A693" s="9"/>
      <c r="B693" s="9"/>
      <c r="C693" s="9"/>
      <c r="D693" s="9"/>
      <c r="E693" s="9"/>
      <c r="F693" s="9"/>
      <c r="G693" s="9"/>
      <c r="H693" s="9"/>
    </row>
    <row r="694">
      <c r="A694" s="9"/>
      <c r="B694" s="9"/>
      <c r="C694" s="9"/>
      <c r="D694" s="9"/>
      <c r="E694" s="9"/>
      <c r="F694" s="9"/>
      <c r="G694" s="9"/>
      <c r="H694" s="9"/>
    </row>
    <row r="695">
      <c r="A695" s="9"/>
      <c r="B695" s="9"/>
      <c r="C695" s="9"/>
      <c r="D695" s="9"/>
      <c r="E695" s="9"/>
      <c r="F695" s="9"/>
      <c r="G695" s="9"/>
      <c r="H695" s="9"/>
    </row>
    <row r="696">
      <c r="A696" s="9"/>
      <c r="B696" s="9"/>
      <c r="C696" s="9"/>
      <c r="D696" s="9"/>
      <c r="E696" s="9"/>
      <c r="F696" s="9"/>
      <c r="G696" s="9"/>
      <c r="H696" s="9"/>
    </row>
    <row r="697">
      <c r="A697" s="9"/>
      <c r="B697" s="9"/>
      <c r="C697" s="9"/>
      <c r="D697" s="9"/>
      <c r="E697" s="9"/>
      <c r="F697" s="9"/>
      <c r="G697" s="9"/>
      <c r="H697" s="9"/>
    </row>
    <row r="698">
      <c r="A698" s="9"/>
      <c r="B698" s="9"/>
      <c r="C698" s="9"/>
      <c r="D698" s="9"/>
      <c r="E698" s="9"/>
      <c r="F698" s="9"/>
      <c r="G698" s="9"/>
      <c r="H698" s="9"/>
    </row>
    <row r="699">
      <c r="A699" s="9"/>
      <c r="B699" s="9"/>
      <c r="C699" s="9"/>
      <c r="D699" s="9"/>
      <c r="E699" s="9"/>
      <c r="F699" s="9"/>
      <c r="G699" s="9"/>
      <c r="H699" s="9"/>
    </row>
    <row r="700">
      <c r="A700" s="9"/>
      <c r="B700" s="9"/>
      <c r="C700" s="9"/>
      <c r="D700" s="9"/>
      <c r="E700" s="9"/>
      <c r="F700" s="9"/>
      <c r="G700" s="9"/>
      <c r="H700" s="9"/>
    </row>
    <row r="701">
      <c r="A701" s="9"/>
      <c r="B701" s="9"/>
      <c r="C701" s="9"/>
      <c r="D701" s="9"/>
      <c r="E701" s="9"/>
      <c r="F701" s="9"/>
      <c r="G701" s="9"/>
      <c r="H701" s="9"/>
    </row>
    <row r="702">
      <c r="A702" s="9"/>
      <c r="B702" s="9"/>
      <c r="C702" s="9"/>
      <c r="D702" s="9"/>
      <c r="E702" s="9"/>
      <c r="F702" s="9"/>
      <c r="G702" s="9"/>
      <c r="H702" s="9"/>
    </row>
    <row r="703">
      <c r="A703" s="9"/>
      <c r="B703" s="9"/>
      <c r="C703" s="9"/>
      <c r="D703" s="9"/>
      <c r="E703" s="9"/>
      <c r="F703" s="9"/>
      <c r="G703" s="9"/>
      <c r="H703" s="9"/>
    </row>
    <row r="704">
      <c r="A704" s="9"/>
      <c r="B704" s="9"/>
      <c r="C704" s="9"/>
      <c r="D704" s="9"/>
      <c r="E704" s="9"/>
      <c r="F704" s="9"/>
      <c r="G704" s="9"/>
      <c r="H704" s="9"/>
    </row>
    <row r="705">
      <c r="A705" s="9"/>
      <c r="B705" s="9"/>
      <c r="C705" s="9"/>
      <c r="D705" s="9"/>
      <c r="E705" s="9"/>
      <c r="F705" s="9"/>
      <c r="G705" s="9"/>
      <c r="H705" s="9"/>
    </row>
    <row r="706">
      <c r="A706" s="9"/>
      <c r="B706" s="9"/>
      <c r="C706" s="9"/>
      <c r="D706" s="9"/>
      <c r="E706" s="9"/>
      <c r="F706" s="9"/>
      <c r="G706" s="9"/>
      <c r="H706" s="9"/>
    </row>
    <row r="707">
      <c r="A707" s="9"/>
      <c r="B707" s="9"/>
      <c r="C707" s="9"/>
      <c r="D707" s="9"/>
      <c r="E707" s="9"/>
      <c r="F707" s="9"/>
      <c r="G707" s="9"/>
      <c r="H707" s="9"/>
    </row>
    <row r="708">
      <c r="A708" s="9"/>
      <c r="B708" s="9"/>
      <c r="C708" s="9"/>
      <c r="D708" s="9"/>
      <c r="E708" s="9"/>
      <c r="F708" s="9"/>
      <c r="G708" s="9"/>
      <c r="H708" s="9"/>
    </row>
    <row r="709">
      <c r="A709" s="9"/>
      <c r="B709" s="9"/>
      <c r="C709" s="9"/>
      <c r="D709" s="9"/>
      <c r="E709" s="9"/>
      <c r="F709" s="9"/>
      <c r="G709" s="9"/>
      <c r="H709" s="9"/>
    </row>
    <row r="710">
      <c r="A710" s="9"/>
      <c r="B710" s="9"/>
      <c r="C710" s="9"/>
      <c r="D710" s="9"/>
      <c r="E710" s="9"/>
      <c r="F710" s="9"/>
      <c r="G710" s="9"/>
      <c r="H710" s="9"/>
    </row>
    <row r="711">
      <c r="A711" s="9"/>
      <c r="B711" s="9"/>
      <c r="C711" s="9"/>
      <c r="D711" s="9"/>
      <c r="E711" s="9"/>
      <c r="F711" s="9"/>
      <c r="G711" s="9"/>
      <c r="H711" s="9"/>
    </row>
    <row r="712">
      <c r="A712" s="9"/>
      <c r="B712" s="9"/>
      <c r="C712" s="9"/>
      <c r="D712" s="9"/>
      <c r="E712" s="9"/>
      <c r="F712" s="9"/>
      <c r="G712" s="9"/>
      <c r="H712" s="9"/>
    </row>
    <row r="713">
      <c r="A713" s="9"/>
      <c r="B713" s="9"/>
      <c r="C713" s="9"/>
      <c r="D713" s="9"/>
      <c r="E713" s="9"/>
      <c r="F713" s="9"/>
      <c r="G713" s="9"/>
      <c r="H713" s="9"/>
    </row>
    <row r="714">
      <c r="A714" s="9"/>
      <c r="B714" s="9"/>
      <c r="C714" s="9"/>
      <c r="D714" s="9"/>
      <c r="E714" s="9"/>
      <c r="F714" s="9"/>
      <c r="G714" s="9"/>
      <c r="H714" s="9"/>
    </row>
    <row r="715">
      <c r="A715" s="9"/>
      <c r="B715" s="9"/>
      <c r="C715" s="9"/>
      <c r="D715" s="9"/>
      <c r="E715" s="9"/>
      <c r="F715" s="9"/>
      <c r="G715" s="9"/>
      <c r="H715" s="9"/>
    </row>
    <row r="716">
      <c r="A716" s="9"/>
      <c r="B716" s="9"/>
      <c r="C716" s="9"/>
      <c r="D716" s="9"/>
      <c r="E716" s="9"/>
      <c r="F716" s="9"/>
      <c r="G716" s="9"/>
      <c r="H716" s="9"/>
    </row>
    <row r="717">
      <c r="A717" s="9"/>
      <c r="B717" s="9"/>
      <c r="C717" s="9"/>
      <c r="D717" s="9"/>
      <c r="E717" s="9"/>
      <c r="F717" s="9"/>
      <c r="G717" s="9"/>
      <c r="H717" s="9"/>
    </row>
    <row r="718">
      <c r="A718" s="9"/>
      <c r="B718" s="9"/>
      <c r="C718" s="9"/>
      <c r="D718" s="9"/>
      <c r="E718" s="9"/>
      <c r="F718" s="9"/>
      <c r="G718" s="9"/>
      <c r="H718" s="9"/>
    </row>
    <row r="719">
      <c r="A719" s="9"/>
      <c r="B719" s="9"/>
      <c r="C719" s="9"/>
      <c r="D719" s="9"/>
      <c r="E719" s="9"/>
      <c r="F719" s="9"/>
      <c r="G719" s="9"/>
      <c r="H719" s="9"/>
    </row>
    <row r="720">
      <c r="A720" s="9"/>
      <c r="B720" s="9"/>
      <c r="C720" s="9"/>
      <c r="D720" s="9"/>
      <c r="E720" s="9"/>
      <c r="F720" s="9"/>
      <c r="G720" s="9"/>
      <c r="H720" s="9"/>
    </row>
    <row r="721">
      <c r="A721" s="9"/>
      <c r="B721" s="9"/>
      <c r="C721" s="9"/>
      <c r="D721" s="9"/>
      <c r="E721" s="9"/>
      <c r="F721" s="9"/>
      <c r="G721" s="9"/>
      <c r="H721" s="9"/>
    </row>
    <row r="722">
      <c r="A722" s="9"/>
      <c r="B722" s="9"/>
      <c r="C722" s="9"/>
      <c r="D722" s="9"/>
      <c r="E722" s="9"/>
      <c r="F722" s="9"/>
      <c r="G722" s="9"/>
      <c r="H722" s="9"/>
    </row>
    <row r="723">
      <c r="A723" s="9"/>
      <c r="B723" s="9"/>
      <c r="C723" s="9"/>
      <c r="D723" s="9"/>
      <c r="E723" s="9"/>
      <c r="F723" s="9"/>
      <c r="G723" s="9"/>
      <c r="H723" s="9"/>
    </row>
    <row r="724">
      <c r="A724" s="9"/>
      <c r="B724" s="9"/>
      <c r="C724" s="9"/>
      <c r="D724" s="9"/>
      <c r="E724" s="9"/>
      <c r="F724" s="9"/>
      <c r="G724" s="9"/>
      <c r="H724" s="9"/>
    </row>
    <row r="725">
      <c r="A725" s="9"/>
      <c r="B725" s="9"/>
      <c r="C725" s="9"/>
      <c r="D725" s="9"/>
      <c r="E725" s="9"/>
      <c r="F725" s="9"/>
      <c r="G725" s="9"/>
      <c r="H725" s="9"/>
    </row>
    <row r="726">
      <c r="A726" s="9"/>
      <c r="B726" s="9"/>
      <c r="C726" s="9"/>
      <c r="D726" s="9"/>
      <c r="E726" s="9"/>
      <c r="F726" s="9"/>
      <c r="G726" s="9"/>
      <c r="H726" s="9"/>
    </row>
    <row r="727">
      <c r="A727" s="9"/>
      <c r="B727" s="9"/>
      <c r="C727" s="9"/>
      <c r="D727" s="9"/>
      <c r="E727" s="9"/>
      <c r="F727" s="9"/>
      <c r="G727" s="9"/>
      <c r="H727" s="9"/>
    </row>
    <row r="728">
      <c r="A728" s="9"/>
      <c r="B728" s="9"/>
      <c r="C728" s="9"/>
      <c r="D728" s="9"/>
      <c r="E728" s="9"/>
      <c r="F728" s="9"/>
      <c r="G728" s="9"/>
      <c r="H728" s="9"/>
    </row>
    <row r="729">
      <c r="A729" s="9"/>
      <c r="B729" s="9"/>
      <c r="C729" s="9"/>
      <c r="D729" s="9"/>
      <c r="E729" s="9"/>
      <c r="F729" s="9"/>
      <c r="G729" s="9"/>
      <c r="H729" s="9"/>
    </row>
    <row r="730">
      <c r="A730" s="9"/>
      <c r="B730" s="9"/>
      <c r="C730" s="9"/>
      <c r="D730" s="9"/>
      <c r="E730" s="9"/>
      <c r="F730" s="9"/>
      <c r="G730" s="9"/>
      <c r="H730" s="9"/>
    </row>
    <row r="731">
      <c r="A731" s="9"/>
      <c r="B731" s="9"/>
      <c r="C731" s="9"/>
      <c r="D731" s="9"/>
      <c r="E731" s="9"/>
      <c r="F731" s="9"/>
      <c r="G731" s="9"/>
      <c r="H731" s="9"/>
    </row>
    <row r="732">
      <c r="A732" s="9"/>
      <c r="B732" s="9"/>
      <c r="C732" s="9"/>
      <c r="D732" s="9"/>
      <c r="E732" s="9"/>
      <c r="F732" s="9"/>
      <c r="G732" s="9"/>
      <c r="H732" s="9"/>
    </row>
    <row r="733">
      <c r="A733" s="9"/>
      <c r="B733" s="9"/>
      <c r="C733" s="9"/>
      <c r="D733" s="9"/>
      <c r="E733" s="9"/>
      <c r="F733" s="9"/>
      <c r="G733" s="9"/>
      <c r="H733" s="9"/>
    </row>
    <row r="734">
      <c r="A734" s="9"/>
      <c r="B734" s="9"/>
      <c r="C734" s="9"/>
      <c r="D734" s="9"/>
      <c r="E734" s="9"/>
      <c r="F734" s="9"/>
      <c r="G734" s="9"/>
      <c r="H734" s="9"/>
    </row>
    <row r="735">
      <c r="A735" s="9"/>
      <c r="B735" s="9"/>
      <c r="C735" s="9"/>
      <c r="D735" s="9"/>
      <c r="E735" s="9"/>
      <c r="F735" s="9"/>
      <c r="G735" s="9"/>
      <c r="H735" s="9"/>
    </row>
    <row r="736">
      <c r="A736" s="9"/>
      <c r="B736" s="9"/>
      <c r="C736" s="9"/>
      <c r="D736" s="9"/>
      <c r="E736" s="9"/>
      <c r="F736" s="9"/>
      <c r="G736" s="9"/>
      <c r="H736" s="9"/>
    </row>
    <row r="737">
      <c r="A737" s="9"/>
      <c r="B737" s="9"/>
      <c r="C737" s="9"/>
      <c r="D737" s="9"/>
      <c r="E737" s="9"/>
      <c r="F737" s="9"/>
      <c r="G737" s="9"/>
      <c r="H737" s="9"/>
    </row>
    <row r="738">
      <c r="A738" s="9"/>
      <c r="B738" s="9"/>
      <c r="C738" s="9"/>
      <c r="D738" s="9"/>
      <c r="E738" s="9"/>
      <c r="F738" s="9"/>
      <c r="G738" s="9"/>
      <c r="H738" s="9"/>
    </row>
    <row r="739">
      <c r="A739" s="9"/>
      <c r="B739" s="9"/>
      <c r="C739" s="9"/>
      <c r="D739" s="9"/>
      <c r="E739" s="9"/>
      <c r="F739" s="9"/>
      <c r="G739" s="9"/>
      <c r="H739" s="9"/>
    </row>
    <row r="740">
      <c r="A740" s="9"/>
      <c r="B740" s="9"/>
      <c r="C740" s="9"/>
      <c r="D740" s="9"/>
      <c r="E740" s="9"/>
      <c r="F740" s="9"/>
      <c r="G740" s="9"/>
      <c r="H740" s="9"/>
    </row>
    <row r="741">
      <c r="A741" s="9"/>
      <c r="B741" s="9"/>
      <c r="C741" s="9"/>
      <c r="D741" s="9"/>
      <c r="E741" s="9"/>
      <c r="F741" s="9"/>
      <c r="G741" s="9"/>
      <c r="H741" s="9"/>
    </row>
    <row r="742">
      <c r="A742" s="9"/>
      <c r="B742" s="9"/>
      <c r="C742" s="9"/>
      <c r="D742" s="9"/>
      <c r="E742" s="9"/>
      <c r="F742" s="9"/>
      <c r="G742" s="9"/>
      <c r="H742" s="9"/>
    </row>
    <row r="743">
      <c r="A743" s="9"/>
      <c r="B743" s="9"/>
      <c r="C743" s="9"/>
      <c r="D743" s="9"/>
      <c r="E743" s="9"/>
      <c r="F743" s="9"/>
      <c r="G743" s="9"/>
      <c r="H743" s="9"/>
    </row>
    <row r="744">
      <c r="A744" s="9"/>
      <c r="B744" s="9"/>
      <c r="C744" s="9"/>
      <c r="D744" s="9"/>
      <c r="E744" s="9"/>
      <c r="F744" s="9"/>
      <c r="G744" s="9"/>
      <c r="H744" s="9"/>
    </row>
    <row r="745">
      <c r="A745" s="9"/>
      <c r="B745" s="9"/>
      <c r="C745" s="9"/>
      <c r="D745" s="9"/>
      <c r="E745" s="9"/>
      <c r="F745" s="9"/>
      <c r="G745" s="9"/>
      <c r="H745" s="9"/>
    </row>
    <row r="746">
      <c r="A746" s="9"/>
      <c r="B746" s="9"/>
      <c r="C746" s="9"/>
      <c r="D746" s="9"/>
      <c r="E746" s="9"/>
      <c r="F746" s="9"/>
      <c r="G746" s="9"/>
      <c r="H746" s="9"/>
    </row>
    <row r="747">
      <c r="A747" s="9"/>
      <c r="B747" s="9"/>
      <c r="C747" s="9"/>
      <c r="D747" s="9"/>
      <c r="E747" s="9"/>
      <c r="F747" s="9"/>
      <c r="G747" s="9"/>
      <c r="H747" s="9"/>
    </row>
    <row r="748">
      <c r="A748" s="9"/>
      <c r="B748" s="9"/>
      <c r="C748" s="9"/>
      <c r="D748" s="9"/>
      <c r="E748" s="9"/>
      <c r="F748" s="9"/>
      <c r="G748" s="9"/>
      <c r="H748" s="9"/>
    </row>
    <row r="749">
      <c r="A749" s="9"/>
      <c r="B749" s="9"/>
      <c r="C749" s="9"/>
      <c r="D749" s="9"/>
      <c r="E749" s="9"/>
      <c r="F749" s="9"/>
      <c r="G749" s="9"/>
      <c r="H749" s="9"/>
    </row>
    <row r="750">
      <c r="A750" s="9"/>
      <c r="B750" s="9"/>
      <c r="C750" s="9"/>
      <c r="D750" s="9"/>
      <c r="E750" s="9"/>
      <c r="F750" s="9"/>
      <c r="G750" s="9"/>
      <c r="H750" s="9"/>
    </row>
    <row r="751">
      <c r="A751" s="9"/>
      <c r="B751" s="9"/>
      <c r="C751" s="9"/>
      <c r="D751" s="9"/>
      <c r="E751" s="9"/>
      <c r="F751" s="9"/>
      <c r="G751" s="9"/>
      <c r="H751" s="9"/>
    </row>
    <row r="752">
      <c r="A752" s="9"/>
      <c r="B752" s="9"/>
      <c r="C752" s="9"/>
      <c r="D752" s="9"/>
      <c r="E752" s="9"/>
      <c r="F752" s="9"/>
      <c r="G752" s="9"/>
      <c r="H752" s="9"/>
    </row>
    <row r="753">
      <c r="A753" s="9"/>
      <c r="B753" s="9"/>
      <c r="C753" s="9"/>
      <c r="D753" s="9"/>
      <c r="E753" s="9"/>
      <c r="F753" s="9"/>
      <c r="G753" s="9"/>
      <c r="H753" s="9"/>
    </row>
    <row r="754">
      <c r="A754" s="9"/>
      <c r="B754" s="9"/>
      <c r="C754" s="9"/>
      <c r="D754" s="9"/>
      <c r="E754" s="9"/>
      <c r="F754" s="9"/>
      <c r="G754" s="9"/>
      <c r="H754" s="9"/>
    </row>
    <row r="755">
      <c r="A755" s="9"/>
      <c r="B755" s="9"/>
      <c r="C755" s="9"/>
      <c r="D755" s="9"/>
      <c r="E755" s="9"/>
      <c r="F755" s="9"/>
      <c r="G755" s="9"/>
      <c r="H755" s="9"/>
    </row>
    <row r="756">
      <c r="A756" s="9"/>
      <c r="B756" s="9"/>
      <c r="C756" s="9"/>
      <c r="D756" s="9"/>
      <c r="E756" s="9"/>
      <c r="F756" s="9"/>
      <c r="G756" s="9"/>
      <c r="H756" s="9"/>
    </row>
    <row r="757">
      <c r="A757" s="9"/>
      <c r="B757" s="9"/>
      <c r="C757" s="9"/>
      <c r="D757" s="9"/>
      <c r="E757" s="9"/>
      <c r="F757" s="9"/>
      <c r="G757" s="9"/>
      <c r="H757" s="9"/>
    </row>
    <row r="758">
      <c r="A758" s="9"/>
      <c r="B758" s="9"/>
      <c r="C758" s="9"/>
      <c r="D758" s="9"/>
      <c r="E758" s="9"/>
      <c r="F758" s="9"/>
      <c r="G758" s="9"/>
      <c r="H758" s="9"/>
    </row>
    <row r="759">
      <c r="A759" s="9"/>
      <c r="B759" s="9"/>
      <c r="C759" s="9"/>
      <c r="D759" s="9"/>
      <c r="E759" s="9"/>
      <c r="F759" s="9"/>
      <c r="G759" s="9"/>
      <c r="H759" s="9"/>
    </row>
    <row r="760">
      <c r="A760" s="9"/>
      <c r="B760" s="9"/>
      <c r="C760" s="9"/>
      <c r="D760" s="9"/>
      <c r="E760" s="9"/>
      <c r="F760" s="9"/>
      <c r="G760" s="9"/>
      <c r="H760" s="9"/>
    </row>
    <row r="761">
      <c r="A761" s="9"/>
      <c r="B761" s="9"/>
      <c r="C761" s="9"/>
      <c r="D761" s="9"/>
      <c r="E761" s="9"/>
      <c r="F761" s="9"/>
      <c r="G761" s="9"/>
      <c r="H761" s="9"/>
    </row>
    <row r="762">
      <c r="A762" s="9"/>
      <c r="B762" s="9"/>
      <c r="C762" s="9"/>
      <c r="D762" s="9"/>
      <c r="E762" s="9"/>
      <c r="F762" s="9"/>
      <c r="G762" s="9"/>
      <c r="H762" s="9"/>
    </row>
    <row r="763">
      <c r="A763" s="9"/>
      <c r="B763" s="9"/>
      <c r="C763" s="9"/>
      <c r="D763" s="9"/>
      <c r="E763" s="9"/>
      <c r="F763" s="9"/>
      <c r="G763" s="9"/>
      <c r="H763" s="9"/>
    </row>
    <row r="764">
      <c r="A764" s="9"/>
      <c r="B764" s="9"/>
      <c r="C764" s="9"/>
      <c r="D764" s="9"/>
      <c r="E764" s="9"/>
      <c r="F764" s="9"/>
      <c r="G764" s="9"/>
      <c r="H764" s="9"/>
    </row>
    <row r="765">
      <c r="A765" s="9"/>
      <c r="B765" s="9"/>
      <c r="C765" s="9"/>
      <c r="D765" s="9"/>
      <c r="E765" s="9"/>
      <c r="F765" s="9"/>
      <c r="G765" s="9"/>
      <c r="H765" s="9"/>
    </row>
    <row r="766">
      <c r="A766" s="9"/>
      <c r="B766" s="9"/>
      <c r="C766" s="9"/>
      <c r="D766" s="9"/>
      <c r="E766" s="9"/>
      <c r="F766" s="9"/>
      <c r="G766" s="9"/>
      <c r="H766" s="9"/>
    </row>
    <row r="767">
      <c r="A767" s="9"/>
      <c r="B767" s="9"/>
      <c r="C767" s="9"/>
      <c r="D767" s="9"/>
      <c r="E767" s="9"/>
      <c r="F767" s="9"/>
      <c r="G767" s="9"/>
      <c r="H767" s="9"/>
    </row>
    <row r="768">
      <c r="A768" s="9"/>
      <c r="B768" s="9"/>
      <c r="C768" s="9"/>
      <c r="D768" s="9"/>
      <c r="E768" s="9"/>
      <c r="F768" s="9"/>
      <c r="G768" s="9"/>
      <c r="H768" s="9"/>
    </row>
    <row r="769">
      <c r="A769" s="9"/>
      <c r="B769" s="9"/>
      <c r="C769" s="9"/>
      <c r="D769" s="9"/>
      <c r="E769" s="9"/>
      <c r="F769" s="9"/>
      <c r="G769" s="9"/>
      <c r="H769" s="9"/>
    </row>
    <row r="770">
      <c r="A770" s="9"/>
      <c r="B770" s="9"/>
      <c r="C770" s="9"/>
      <c r="D770" s="9"/>
      <c r="E770" s="9"/>
      <c r="F770" s="9"/>
      <c r="G770" s="9"/>
      <c r="H770" s="9"/>
    </row>
    <row r="771">
      <c r="A771" s="9"/>
      <c r="B771" s="9"/>
      <c r="C771" s="9"/>
      <c r="D771" s="9"/>
      <c r="E771" s="9"/>
      <c r="F771" s="9"/>
      <c r="G771" s="9"/>
      <c r="H771" s="9"/>
    </row>
    <row r="772">
      <c r="A772" s="9"/>
      <c r="B772" s="9"/>
      <c r="C772" s="9"/>
      <c r="D772" s="9"/>
      <c r="E772" s="9"/>
      <c r="F772" s="9"/>
      <c r="G772" s="9"/>
      <c r="H772" s="9"/>
    </row>
    <row r="773">
      <c r="A773" s="9"/>
      <c r="B773" s="9"/>
      <c r="C773" s="9"/>
      <c r="D773" s="9"/>
      <c r="E773" s="9"/>
      <c r="F773" s="9"/>
      <c r="G773" s="9"/>
      <c r="H773" s="9"/>
    </row>
    <row r="774">
      <c r="A774" s="9"/>
      <c r="B774" s="9"/>
      <c r="C774" s="9"/>
      <c r="D774" s="9"/>
      <c r="E774" s="9"/>
      <c r="F774" s="9"/>
      <c r="G774" s="9"/>
      <c r="H774" s="9"/>
    </row>
    <row r="775">
      <c r="A775" s="9"/>
      <c r="B775" s="9"/>
      <c r="C775" s="9"/>
      <c r="D775" s="9"/>
      <c r="E775" s="9"/>
      <c r="F775" s="9"/>
      <c r="G775" s="9"/>
      <c r="H775" s="9"/>
    </row>
    <row r="776">
      <c r="A776" s="9"/>
      <c r="B776" s="9"/>
      <c r="C776" s="9"/>
      <c r="D776" s="9"/>
      <c r="E776" s="9"/>
      <c r="F776" s="9"/>
      <c r="G776" s="9"/>
      <c r="H776" s="9"/>
    </row>
    <row r="777">
      <c r="A777" s="9"/>
      <c r="B777" s="9"/>
      <c r="C777" s="9"/>
      <c r="D777" s="9"/>
      <c r="E777" s="9"/>
      <c r="F777" s="9"/>
      <c r="G777" s="9"/>
      <c r="H777" s="9"/>
    </row>
    <row r="778">
      <c r="A778" s="9"/>
      <c r="B778" s="9"/>
      <c r="C778" s="9"/>
      <c r="D778" s="9"/>
      <c r="E778" s="9"/>
      <c r="F778" s="9"/>
      <c r="G778" s="9"/>
      <c r="H778" s="9"/>
    </row>
    <row r="779">
      <c r="A779" s="9"/>
      <c r="B779" s="9"/>
      <c r="C779" s="9"/>
      <c r="D779" s="9"/>
      <c r="E779" s="9"/>
      <c r="F779" s="9"/>
      <c r="G779" s="9"/>
      <c r="H779" s="9"/>
    </row>
    <row r="780">
      <c r="A780" s="9"/>
      <c r="B780" s="9"/>
      <c r="C780" s="9"/>
      <c r="D780" s="9"/>
      <c r="E780" s="9"/>
      <c r="F780" s="9"/>
      <c r="G780" s="9"/>
      <c r="H780" s="9"/>
    </row>
    <row r="781">
      <c r="A781" s="9"/>
      <c r="B781" s="9"/>
      <c r="C781" s="9"/>
      <c r="D781" s="9"/>
      <c r="E781" s="9"/>
      <c r="F781" s="9"/>
      <c r="G781" s="9"/>
      <c r="H781" s="9"/>
    </row>
    <row r="782">
      <c r="A782" s="9"/>
      <c r="B782" s="9"/>
      <c r="C782" s="9"/>
      <c r="D782" s="9"/>
      <c r="E782" s="9"/>
      <c r="F782" s="9"/>
      <c r="G782" s="9"/>
      <c r="H782" s="9"/>
    </row>
    <row r="783">
      <c r="A783" s="9"/>
      <c r="B783" s="9"/>
      <c r="C783" s="9"/>
      <c r="D783" s="9"/>
      <c r="E783" s="9"/>
      <c r="F783" s="9"/>
      <c r="G783" s="9"/>
      <c r="H783" s="9"/>
    </row>
    <row r="784">
      <c r="A784" s="9"/>
      <c r="B784" s="9"/>
      <c r="C784" s="9"/>
      <c r="D784" s="9"/>
      <c r="E784" s="9"/>
      <c r="F784" s="9"/>
      <c r="G784" s="9"/>
      <c r="H784" s="9"/>
    </row>
    <row r="785">
      <c r="A785" s="9"/>
      <c r="B785" s="9"/>
      <c r="C785" s="9"/>
      <c r="D785" s="9"/>
      <c r="E785" s="9"/>
      <c r="F785" s="9"/>
      <c r="G785" s="9"/>
      <c r="H785" s="9"/>
    </row>
    <row r="786">
      <c r="A786" s="9"/>
      <c r="B786" s="9"/>
      <c r="C786" s="9"/>
      <c r="D786" s="9"/>
      <c r="E786" s="9"/>
      <c r="F786" s="9"/>
      <c r="G786" s="9"/>
      <c r="H786" s="9"/>
    </row>
    <row r="787">
      <c r="A787" s="9"/>
      <c r="B787" s="9"/>
      <c r="C787" s="9"/>
      <c r="D787" s="9"/>
      <c r="E787" s="9"/>
      <c r="F787" s="9"/>
      <c r="G787" s="9"/>
      <c r="H787" s="9"/>
    </row>
    <row r="788">
      <c r="A788" s="9"/>
      <c r="B788" s="9"/>
      <c r="C788" s="9"/>
      <c r="D788" s="9"/>
      <c r="E788" s="9"/>
      <c r="F788" s="9"/>
      <c r="G788" s="9"/>
      <c r="H788" s="9"/>
    </row>
    <row r="789">
      <c r="A789" s="9"/>
      <c r="B789" s="9"/>
      <c r="C789" s="9"/>
      <c r="D789" s="9"/>
      <c r="E789" s="9"/>
      <c r="F789" s="9"/>
      <c r="G789" s="9"/>
      <c r="H789" s="9"/>
    </row>
    <row r="790">
      <c r="A790" s="9"/>
      <c r="B790" s="9"/>
      <c r="C790" s="9"/>
      <c r="D790" s="9"/>
      <c r="E790" s="9"/>
      <c r="F790" s="9"/>
      <c r="G790" s="9"/>
      <c r="H790" s="9"/>
    </row>
    <row r="791">
      <c r="A791" s="9"/>
      <c r="B791" s="9"/>
      <c r="C791" s="9"/>
      <c r="D791" s="9"/>
      <c r="E791" s="9"/>
      <c r="F791" s="9"/>
      <c r="G791" s="9"/>
      <c r="H791" s="9"/>
    </row>
    <row r="792">
      <c r="A792" s="9"/>
      <c r="B792" s="9"/>
      <c r="C792" s="9"/>
      <c r="D792" s="9"/>
      <c r="E792" s="9"/>
      <c r="F792" s="9"/>
      <c r="G792" s="9"/>
      <c r="H792" s="9"/>
    </row>
    <row r="793">
      <c r="A793" s="9"/>
      <c r="B793" s="9"/>
      <c r="C793" s="9"/>
      <c r="D793" s="9"/>
      <c r="E793" s="9"/>
      <c r="F793" s="9"/>
      <c r="G793" s="9"/>
      <c r="H793" s="9"/>
    </row>
    <row r="794">
      <c r="A794" s="9"/>
      <c r="B794" s="9"/>
      <c r="C794" s="9"/>
      <c r="D794" s="9"/>
      <c r="E794" s="9"/>
      <c r="F794" s="9"/>
      <c r="G794" s="9"/>
      <c r="H794" s="9"/>
    </row>
    <row r="795">
      <c r="A795" s="9"/>
      <c r="B795" s="9"/>
      <c r="C795" s="9"/>
      <c r="D795" s="9"/>
      <c r="E795" s="9"/>
      <c r="F795" s="9"/>
      <c r="G795" s="9"/>
      <c r="H795" s="9"/>
    </row>
    <row r="796">
      <c r="A796" s="9"/>
      <c r="B796" s="9"/>
      <c r="C796" s="9"/>
      <c r="D796" s="9"/>
      <c r="E796" s="9"/>
      <c r="F796" s="9"/>
      <c r="G796" s="9"/>
      <c r="H796" s="9"/>
    </row>
    <row r="797">
      <c r="A797" s="9"/>
      <c r="B797" s="9"/>
      <c r="C797" s="9"/>
      <c r="D797" s="9"/>
      <c r="E797" s="9"/>
      <c r="F797" s="9"/>
      <c r="G797" s="9"/>
      <c r="H797" s="9"/>
    </row>
    <row r="798">
      <c r="A798" s="9"/>
      <c r="B798" s="9"/>
      <c r="C798" s="9"/>
      <c r="D798" s="9"/>
      <c r="E798" s="9"/>
      <c r="F798" s="9"/>
      <c r="G798" s="9"/>
      <c r="H798" s="9"/>
    </row>
    <row r="799">
      <c r="A799" s="9"/>
      <c r="B799" s="9"/>
      <c r="C799" s="9"/>
      <c r="D799" s="9"/>
      <c r="E799" s="9"/>
      <c r="F799" s="9"/>
      <c r="G799" s="9"/>
      <c r="H799" s="9"/>
    </row>
    <row r="800">
      <c r="A800" s="9"/>
      <c r="B800" s="9"/>
      <c r="C800" s="9"/>
      <c r="D800" s="9"/>
      <c r="E800" s="9"/>
      <c r="F800" s="9"/>
      <c r="G800" s="9"/>
      <c r="H800" s="9"/>
    </row>
    <row r="801">
      <c r="A801" s="9"/>
      <c r="B801" s="9"/>
      <c r="C801" s="9"/>
      <c r="D801" s="9"/>
      <c r="E801" s="9"/>
      <c r="F801" s="9"/>
      <c r="G801" s="9"/>
      <c r="H801" s="9"/>
    </row>
    <row r="802">
      <c r="A802" s="9"/>
      <c r="B802" s="9"/>
      <c r="C802" s="9"/>
      <c r="D802" s="9"/>
      <c r="E802" s="9"/>
      <c r="F802" s="9"/>
      <c r="G802" s="9"/>
      <c r="H802" s="9"/>
    </row>
    <row r="803">
      <c r="A803" s="9"/>
      <c r="B803" s="9"/>
      <c r="C803" s="9"/>
      <c r="D803" s="9"/>
      <c r="E803" s="9"/>
      <c r="F803" s="9"/>
      <c r="G803" s="9"/>
      <c r="H803" s="9"/>
    </row>
    <row r="804">
      <c r="A804" s="9"/>
      <c r="B804" s="9"/>
      <c r="C804" s="9"/>
      <c r="D804" s="9"/>
      <c r="E804" s="9"/>
      <c r="F804" s="9"/>
      <c r="G804" s="9"/>
      <c r="H804" s="9"/>
    </row>
    <row r="805">
      <c r="A805" s="9"/>
      <c r="B805" s="9"/>
      <c r="C805" s="9"/>
      <c r="D805" s="9"/>
      <c r="E805" s="9"/>
      <c r="F805" s="9"/>
      <c r="G805" s="9"/>
      <c r="H805" s="9"/>
    </row>
    <row r="806">
      <c r="A806" s="9"/>
      <c r="B806" s="9"/>
      <c r="C806" s="9"/>
      <c r="D806" s="9"/>
      <c r="E806" s="9"/>
      <c r="F806" s="9"/>
      <c r="G806" s="9"/>
      <c r="H806" s="9"/>
    </row>
    <row r="807">
      <c r="A807" s="9"/>
      <c r="B807" s="9"/>
      <c r="C807" s="9"/>
      <c r="D807" s="9"/>
      <c r="E807" s="9"/>
      <c r="F807" s="9"/>
      <c r="G807" s="9"/>
      <c r="H807" s="9"/>
    </row>
    <row r="808">
      <c r="A808" s="9"/>
      <c r="B808" s="9"/>
      <c r="C808" s="9"/>
      <c r="D808" s="9"/>
      <c r="E808" s="9"/>
      <c r="F808" s="9"/>
      <c r="G808" s="9"/>
      <c r="H808" s="9"/>
    </row>
    <row r="809">
      <c r="A809" s="9"/>
      <c r="B809" s="9"/>
      <c r="C809" s="9"/>
      <c r="D809" s="9"/>
      <c r="E809" s="9"/>
      <c r="F809" s="9"/>
      <c r="G809" s="9"/>
      <c r="H809" s="9"/>
    </row>
    <row r="810">
      <c r="A810" s="9"/>
      <c r="B810" s="9"/>
      <c r="C810" s="9"/>
      <c r="D810" s="9"/>
      <c r="E810" s="9"/>
      <c r="F810" s="9"/>
      <c r="G810" s="9"/>
      <c r="H810" s="9"/>
    </row>
    <row r="811">
      <c r="A811" s="9"/>
      <c r="B811" s="9"/>
      <c r="C811" s="9"/>
      <c r="D811" s="9"/>
      <c r="E811" s="9"/>
      <c r="F811" s="9"/>
      <c r="G811" s="9"/>
      <c r="H811" s="9"/>
    </row>
    <row r="812">
      <c r="A812" s="9"/>
      <c r="B812" s="9"/>
      <c r="C812" s="9"/>
      <c r="D812" s="9"/>
      <c r="E812" s="9"/>
      <c r="F812" s="9"/>
      <c r="G812" s="9"/>
      <c r="H812" s="9"/>
    </row>
    <row r="813">
      <c r="A813" s="9"/>
      <c r="B813" s="9"/>
      <c r="C813" s="9"/>
      <c r="D813" s="9"/>
      <c r="E813" s="9"/>
      <c r="F813" s="9"/>
      <c r="G813" s="9"/>
      <c r="H813" s="9"/>
    </row>
    <row r="814">
      <c r="A814" s="9"/>
      <c r="B814" s="9"/>
      <c r="C814" s="9"/>
      <c r="D814" s="9"/>
      <c r="E814" s="9"/>
      <c r="F814" s="9"/>
      <c r="G814" s="9"/>
      <c r="H814" s="9"/>
    </row>
    <row r="815">
      <c r="A815" s="9"/>
      <c r="B815" s="9"/>
      <c r="C815" s="9"/>
      <c r="D815" s="9"/>
      <c r="E815" s="9"/>
      <c r="F815" s="9"/>
      <c r="G815" s="9"/>
      <c r="H815" s="9"/>
    </row>
    <row r="816">
      <c r="A816" s="9"/>
      <c r="B816" s="9"/>
      <c r="C816" s="9"/>
      <c r="D816" s="9"/>
      <c r="E816" s="9"/>
      <c r="F816" s="9"/>
      <c r="G816" s="9"/>
      <c r="H816" s="9"/>
    </row>
    <row r="817">
      <c r="A817" s="9"/>
      <c r="B817" s="9"/>
      <c r="C817" s="9"/>
      <c r="D817" s="9"/>
      <c r="E817" s="9"/>
      <c r="F817" s="9"/>
      <c r="G817" s="9"/>
      <c r="H817" s="9"/>
    </row>
    <row r="818">
      <c r="A818" s="9"/>
      <c r="B818" s="9"/>
      <c r="C818" s="9"/>
      <c r="D818" s="9"/>
      <c r="E818" s="9"/>
      <c r="F818" s="9"/>
      <c r="G818" s="9"/>
      <c r="H818" s="9"/>
    </row>
    <row r="819">
      <c r="A819" s="9"/>
      <c r="B819" s="9"/>
      <c r="C819" s="9"/>
      <c r="D819" s="9"/>
      <c r="E819" s="9"/>
      <c r="F819" s="9"/>
      <c r="G819" s="9"/>
      <c r="H819" s="9"/>
    </row>
    <row r="820">
      <c r="A820" s="9"/>
      <c r="B820" s="9"/>
      <c r="C820" s="9"/>
      <c r="D820" s="9"/>
      <c r="E820" s="9"/>
      <c r="F820" s="9"/>
      <c r="G820" s="9"/>
      <c r="H820" s="9"/>
    </row>
    <row r="821">
      <c r="A821" s="9"/>
      <c r="B821" s="9"/>
      <c r="C821" s="9"/>
      <c r="D821" s="9"/>
      <c r="E821" s="9"/>
      <c r="F821" s="9"/>
      <c r="G821" s="9"/>
      <c r="H821" s="9"/>
    </row>
    <row r="822">
      <c r="A822" s="9"/>
      <c r="B822" s="9"/>
      <c r="C822" s="9"/>
      <c r="D822" s="9"/>
      <c r="E822" s="9"/>
      <c r="F822" s="9"/>
      <c r="G822" s="9"/>
      <c r="H822" s="9"/>
    </row>
    <row r="823">
      <c r="A823" s="9"/>
      <c r="B823" s="9"/>
      <c r="C823" s="9"/>
      <c r="D823" s="9"/>
      <c r="E823" s="9"/>
      <c r="F823" s="9"/>
      <c r="G823" s="9"/>
      <c r="H823" s="9"/>
    </row>
    <row r="824">
      <c r="A824" s="9"/>
      <c r="B824" s="9"/>
      <c r="C824" s="9"/>
      <c r="D824" s="9"/>
      <c r="E824" s="9"/>
      <c r="F824" s="9"/>
      <c r="G824" s="9"/>
      <c r="H824" s="9"/>
    </row>
    <row r="825">
      <c r="A825" s="9"/>
      <c r="B825" s="9"/>
      <c r="C825" s="9"/>
      <c r="D825" s="9"/>
      <c r="E825" s="9"/>
      <c r="F825" s="9"/>
      <c r="G825" s="9"/>
      <c r="H825" s="9"/>
    </row>
    <row r="826">
      <c r="A826" s="9"/>
      <c r="B826" s="9"/>
      <c r="C826" s="9"/>
      <c r="D826" s="9"/>
      <c r="E826" s="9"/>
      <c r="F826" s="9"/>
      <c r="G826" s="9"/>
      <c r="H826" s="9"/>
    </row>
    <row r="827">
      <c r="A827" s="9"/>
      <c r="B827" s="9"/>
      <c r="C827" s="9"/>
      <c r="D827" s="9"/>
      <c r="E827" s="9"/>
      <c r="F827" s="9"/>
      <c r="G827" s="9"/>
      <c r="H827" s="9"/>
    </row>
    <row r="828">
      <c r="A828" s="9"/>
      <c r="B828" s="9"/>
      <c r="C828" s="9"/>
      <c r="D828" s="9"/>
      <c r="E828" s="9"/>
      <c r="F828" s="9"/>
      <c r="G828" s="9"/>
      <c r="H828" s="9"/>
    </row>
    <row r="829">
      <c r="A829" s="9"/>
      <c r="B829" s="9"/>
      <c r="C829" s="9"/>
      <c r="D829" s="9"/>
      <c r="E829" s="9"/>
      <c r="F829" s="9"/>
      <c r="G829" s="9"/>
      <c r="H829" s="9"/>
    </row>
    <row r="830">
      <c r="A830" s="9"/>
      <c r="B830" s="9"/>
      <c r="C830" s="9"/>
      <c r="D830" s="9"/>
      <c r="E830" s="9"/>
      <c r="F830" s="9"/>
      <c r="G830" s="9"/>
      <c r="H830" s="9"/>
    </row>
    <row r="831">
      <c r="A831" s="9"/>
      <c r="B831" s="9"/>
      <c r="C831" s="9"/>
      <c r="D831" s="9"/>
      <c r="E831" s="9"/>
      <c r="F831" s="9"/>
      <c r="G831" s="9"/>
      <c r="H831" s="9"/>
    </row>
    <row r="832">
      <c r="A832" s="9"/>
      <c r="B832" s="9"/>
      <c r="C832" s="9"/>
      <c r="D832" s="9"/>
      <c r="E832" s="9"/>
      <c r="F832" s="9"/>
      <c r="G832" s="9"/>
      <c r="H832" s="9"/>
    </row>
    <row r="833">
      <c r="A833" s="9"/>
      <c r="B833" s="9"/>
      <c r="C833" s="9"/>
      <c r="D833" s="9"/>
      <c r="E833" s="9"/>
      <c r="F833" s="9"/>
      <c r="G833" s="9"/>
      <c r="H833" s="9"/>
    </row>
    <row r="834">
      <c r="A834" s="9"/>
      <c r="B834" s="9"/>
      <c r="C834" s="9"/>
      <c r="D834" s="9"/>
      <c r="E834" s="9"/>
      <c r="F834" s="9"/>
      <c r="G834" s="9"/>
      <c r="H834" s="9"/>
    </row>
    <row r="835">
      <c r="A835" s="9"/>
      <c r="B835" s="9"/>
      <c r="C835" s="9"/>
      <c r="D835" s="9"/>
      <c r="E835" s="9"/>
      <c r="F835" s="9"/>
      <c r="G835" s="9"/>
      <c r="H835" s="9"/>
    </row>
    <row r="836">
      <c r="A836" s="9"/>
      <c r="B836" s="9"/>
      <c r="C836" s="9"/>
      <c r="D836" s="9"/>
      <c r="E836" s="9"/>
      <c r="F836" s="9"/>
      <c r="G836" s="9"/>
      <c r="H836" s="9"/>
    </row>
    <row r="837">
      <c r="A837" s="9"/>
      <c r="B837" s="9"/>
      <c r="C837" s="9"/>
      <c r="D837" s="9"/>
      <c r="E837" s="9"/>
      <c r="F837" s="9"/>
      <c r="G837" s="9"/>
      <c r="H837" s="9"/>
    </row>
    <row r="838">
      <c r="A838" s="9"/>
      <c r="B838" s="9"/>
      <c r="C838" s="9"/>
      <c r="D838" s="9"/>
      <c r="E838" s="9"/>
      <c r="F838" s="9"/>
      <c r="G838" s="9"/>
      <c r="H838" s="9"/>
    </row>
    <row r="839">
      <c r="A839" s="9"/>
      <c r="B839" s="9"/>
      <c r="C839" s="9"/>
      <c r="D839" s="9"/>
      <c r="E839" s="9"/>
      <c r="F839" s="9"/>
      <c r="G839" s="9"/>
      <c r="H839" s="9"/>
    </row>
    <row r="840">
      <c r="A840" s="9"/>
      <c r="B840" s="9"/>
      <c r="C840" s="9"/>
      <c r="D840" s="9"/>
      <c r="E840" s="9"/>
      <c r="F840" s="9"/>
      <c r="G840" s="9"/>
      <c r="H840" s="9"/>
    </row>
    <row r="841">
      <c r="A841" s="9"/>
      <c r="B841" s="9"/>
      <c r="C841" s="9"/>
      <c r="D841" s="9"/>
      <c r="E841" s="9"/>
      <c r="F841" s="9"/>
      <c r="G841" s="9"/>
      <c r="H841" s="9"/>
    </row>
    <row r="842">
      <c r="A842" s="9"/>
      <c r="B842" s="9"/>
      <c r="C842" s="9"/>
      <c r="D842" s="9"/>
      <c r="E842" s="9"/>
      <c r="F842" s="9"/>
      <c r="G842" s="9"/>
      <c r="H842" s="9"/>
    </row>
    <row r="843">
      <c r="A843" s="9"/>
      <c r="B843" s="9"/>
      <c r="C843" s="9"/>
      <c r="D843" s="9"/>
      <c r="E843" s="9"/>
      <c r="F843" s="9"/>
      <c r="G843" s="9"/>
      <c r="H843" s="9"/>
    </row>
    <row r="844">
      <c r="A844" s="9"/>
      <c r="B844" s="9"/>
      <c r="C844" s="9"/>
      <c r="D844" s="9"/>
      <c r="E844" s="9"/>
      <c r="F844" s="9"/>
      <c r="G844" s="9"/>
      <c r="H844" s="9"/>
    </row>
    <row r="845">
      <c r="A845" s="9"/>
      <c r="B845" s="9"/>
      <c r="C845" s="9"/>
      <c r="D845" s="9"/>
      <c r="E845" s="9"/>
      <c r="F845" s="9"/>
      <c r="G845" s="9"/>
      <c r="H845" s="9"/>
    </row>
    <row r="846">
      <c r="A846" s="9"/>
      <c r="B846" s="9"/>
      <c r="C846" s="9"/>
      <c r="D846" s="9"/>
      <c r="E846" s="9"/>
      <c r="F846" s="9"/>
      <c r="G846" s="9"/>
      <c r="H846" s="9"/>
    </row>
    <row r="847">
      <c r="A847" s="9"/>
      <c r="B847" s="9"/>
      <c r="C847" s="9"/>
      <c r="D847" s="9"/>
      <c r="E847" s="9"/>
      <c r="F847" s="9"/>
      <c r="G847" s="9"/>
      <c r="H847" s="9"/>
    </row>
    <row r="848">
      <c r="A848" s="9"/>
      <c r="B848" s="9"/>
      <c r="C848" s="9"/>
      <c r="D848" s="9"/>
      <c r="E848" s="9"/>
      <c r="F848" s="9"/>
      <c r="G848" s="9"/>
      <c r="H848" s="9"/>
    </row>
    <row r="849">
      <c r="A849" s="9"/>
      <c r="B849" s="9"/>
      <c r="C849" s="9"/>
      <c r="D849" s="9"/>
      <c r="E849" s="9"/>
      <c r="F849" s="9"/>
      <c r="G849" s="9"/>
      <c r="H849" s="9"/>
    </row>
    <row r="850">
      <c r="A850" s="9"/>
      <c r="B850" s="9"/>
      <c r="C850" s="9"/>
      <c r="D850" s="9"/>
      <c r="E850" s="9"/>
      <c r="F850" s="9"/>
      <c r="G850" s="9"/>
      <c r="H850" s="9"/>
    </row>
    <row r="851">
      <c r="A851" s="9"/>
      <c r="B851" s="9"/>
      <c r="C851" s="9"/>
      <c r="D851" s="9"/>
      <c r="E851" s="9"/>
      <c r="F851" s="9"/>
      <c r="G851" s="9"/>
      <c r="H851" s="9"/>
    </row>
    <row r="852">
      <c r="A852" s="9"/>
      <c r="B852" s="9"/>
      <c r="C852" s="9"/>
      <c r="D852" s="9"/>
      <c r="E852" s="9"/>
      <c r="F852" s="9"/>
      <c r="G852" s="9"/>
      <c r="H852" s="9"/>
    </row>
    <row r="853">
      <c r="A853" s="9"/>
      <c r="B853" s="9"/>
      <c r="C853" s="9"/>
      <c r="D853" s="9"/>
      <c r="E853" s="9"/>
      <c r="F853" s="9"/>
      <c r="G853" s="9"/>
      <c r="H853" s="9"/>
    </row>
    <row r="854">
      <c r="A854" s="9"/>
      <c r="B854" s="9"/>
      <c r="C854" s="9"/>
      <c r="D854" s="9"/>
      <c r="E854" s="9"/>
      <c r="F854" s="9"/>
      <c r="G854" s="9"/>
      <c r="H854" s="9"/>
    </row>
    <row r="855">
      <c r="A855" s="9"/>
      <c r="B855" s="9"/>
      <c r="C855" s="9"/>
      <c r="D855" s="9"/>
      <c r="E855" s="9"/>
      <c r="F855" s="9"/>
      <c r="G855" s="9"/>
      <c r="H855" s="9"/>
    </row>
    <row r="856">
      <c r="A856" s="9"/>
      <c r="B856" s="9"/>
      <c r="C856" s="9"/>
      <c r="D856" s="9"/>
      <c r="E856" s="9"/>
      <c r="F856" s="9"/>
      <c r="G856" s="9"/>
      <c r="H856" s="9"/>
    </row>
    <row r="857">
      <c r="A857" s="9"/>
      <c r="B857" s="9"/>
      <c r="C857" s="9"/>
      <c r="D857" s="9"/>
      <c r="E857" s="9"/>
      <c r="F857" s="9"/>
      <c r="G857" s="9"/>
      <c r="H857" s="9"/>
    </row>
    <row r="858">
      <c r="A858" s="9"/>
      <c r="B858" s="9"/>
      <c r="C858" s="9"/>
      <c r="D858" s="9"/>
      <c r="E858" s="9"/>
      <c r="F858" s="9"/>
      <c r="G858" s="9"/>
      <c r="H858" s="9"/>
    </row>
    <row r="859">
      <c r="A859" s="9"/>
      <c r="B859" s="9"/>
      <c r="C859" s="9"/>
      <c r="D859" s="9"/>
      <c r="E859" s="9"/>
      <c r="F859" s="9"/>
      <c r="G859" s="9"/>
      <c r="H859" s="9"/>
    </row>
    <row r="860">
      <c r="A860" s="9"/>
      <c r="B860" s="9"/>
      <c r="C860" s="9"/>
      <c r="D860" s="9"/>
      <c r="E860" s="9"/>
      <c r="F860" s="9"/>
      <c r="G860" s="9"/>
      <c r="H860" s="9"/>
    </row>
    <row r="861">
      <c r="A861" s="9"/>
      <c r="B861" s="9"/>
      <c r="C861" s="9"/>
      <c r="D861" s="9"/>
      <c r="E861" s="9"/>
      <c r="F861" s="9"/>
      <c r="G861" s="9"/>
      <c r="H861" s="9"/>
    </row>
    <row r="862">
      <c r="A862" s="9"/>
      <c r="B862" s="9"/>
      <c r="C862" s="9"/>
      <c r="D862" s="9"/>
      <c r="E862" s="9"/>
      <c r="F862" s="9"/>
      <c r="G862" s="9"/>
      <c r="H862" s="9"/>
    </row>
    <row r="863">
      <c r="A863" s="9"/>
      <c r="B863" s="9"/>
      <c r="C863" s="9"/>
      <c r="D863" s="9"/>
      <c r="E863" s="9"/>
      <c r="F863" s="9"/>
      <c r="G863" s="9"/>
      <c r="H863" s="9"/>
    </row>
    <row r="864">
      <c r="A864" s="9"/>
      <c r="B864" s="9"/>
      <c r="C864" s="9"/>
      <c r="D864" s="9"/>
      <c r="E864" s="9"/>
      <c r="F864" s="9"/>
      <c r="G864" s="9"/>
      <c r="H864" s="9"/>
    </row>
    <row r="865">
      <c r="A865" s="9"/>
      <c r="B865" s="9"/>
      <c r="C865" s="9"/>
      <c r="D865" s="9"/>
      <c r="E865" s="9"/>
      <c r="F865" s="9"/>
      <c r="G865" s="9"/>
      <c r="H865" s="9"/>
    </row>
    <row r="866">
      <c r="A866" s="9"/>
      <c r="B866" s="9"/>
      <c r="C866" s="9"/>
      <c r="D866" s="9"/>
      <c r="E866" s="9"/>
      <c r="F866" s="9"/>
      <c r="G866" s="9"/>
      <c r="H866" s="9"/>
    </row>
    <row r="867">
      <c r="A867" s="9"/>
      <c r="B867" s="9"/>
      <c r="C867" s="9"/>
      <c r="D867" s="9"/>
      <c r="E867" s="9"/>
      <c r="F867" s="9"/>
      <c r="G867" s="9"/>
      <c r="H867" s="9"/>
    </row>
    <row r="868">
      <c r="A868" s="9"/>
      <c r="B868" s="9"/>
      <c r="C868" s="9"/>
      <c r="D868" s="9"/>
      <c r="E868" s="9"/>
      <c r="F868" s="9"/>
      <c r="G868" s="9"/>
      <c r="H868" s="9"/>
    </row>
    <row r="869">
      <c r="A869" s="9"/>
      <c r="B869" s="9"/>
      <c r="C869" s="9"/>
      <c r="D869" s="9"/>
      <c r="E869" s="9"/>
      <c r="F869" s="9"/>
      <c r="G869" s="9"/>
      <c r="H869" s="9"/>
    </row>
    <row r="870">
      <c r="A870" s="9"/>
      <c r="B870" s="9"/>
      <c r="C870" s="9"/>
      <c r="D870" s="9"/>
      <c r="E870" s="9"/>
      <c r="F870" s="9"/>
      <c r="G870" s="9"/>
      <c r="H870" s="9"/>
    </row>
    <row r="871">
      <c r="A871" s="9"/>
      <c r="B871" s="9"/>
      <c r="C871" s="9"/>
      <c r="D871" s="9"/>
      <c r="E871" s="9"/>
      <c r="F871" s="9"/>
      <c r="G871" s="9"/>
      <c r="H871" s="9"/>
    </row>
    <row r="872">
      <c r="A872" s="9"/>
      <c r="B872" s="9"/>
      <c r="C872" s="9"/>
      <c r="D872" s="9"/>
      <c r="E872" s="9"/>
      <c r="F872" s="9"/>
      <c r="G872" s="9"/>
      <c r="H872" s="9"/>
    </row>
    <row r="873">
      <c r="A873" s="9"/>
      <c r="B873" s="9"/>
      <c r="C873" s="9"/>
      <c r="D873" s="9"/>
      <c r="E873" s="9"/>
      <c r="F873" s="9"/>
      <c r="G873" s="9"/>
      <c r="H873" s="9"/>
    </row>
    <row r="874">
      <c r="A874" s="9"/>
      <c r="B874" s="9"/>
      <c r="C874" s="9"/>
      <c r="D874" s="9"/>
      <c r="E874" s="9"/>
      <c r="F874" s="9"/>
      <c r="G874" s="9"/>
      <c r="H874" s="9"/>
    </row>
    <row r="875">
      <c r="A875" s="9"/>
      <c r="B875" s="9"/>
      <c r="C875" s="9"/>
      <c r="D875" s="9"/>
      <c r="E875" s="9"/>
      <c r="F875" s="9"/>
      <c r="G875" s="9"/>
      <c r="H875" s="9"/>
    </row>
    <row r="876">
      <c r="A876" s="9"/>
      <c r="B876" s="9"/>
      <c r="C876" s="9"/>
      <c r="D876" s="9"/>
      <c r="E876" s="9"/>
      <c r="F876" s="9"/>
      <c r="G876" s="9"/>
      <c r="H876" s="9"/>
    </row>
    <row r="877">
      <c r="A877" s="9"/>
      <c r="B877" s="9"/>
      <c r="C877" s="9"/>
      <c r="D877" s="9"/>
      <c r="E877" s="9"/>
      <c r="F877" s="9"/>
      <c r="G877" s="9"/>
      <c r="H877" s="9"/>
    </row>
    <row r="878">
      <c r="A878" s="9"/>
      <c r="B878" s="9"/>
      <c r="C878" s="9"/>
      <c r="D878" s="9"/>
      <c r="E878" s="9"/>
      <c r="F878" s="9"/>
      <c r="G878" s="9"/>
      <c r="H878" s="9"/>
    </row>
    <row r="879">
      <c r="A879" s="9"/>
      <c r="B879" s="9"/>
      <c r="C879" s="9"/>
      <c r="D879" s="9"/>
      <c r="E879" s="9"/>
      <c r="F879" s="9"/>
      <c r="G879" s="9"/>
      <c r="H879" s="9"/>
    </row>
    <row r="880">
      <c r="A880" s="9"/>
      <c r="B880" s="9"/>
      <c r="C880" s="9"/>
      <c r="D880" s="9"/>
      <c r="E880" s="9"/>
      <c r="F880" s="9"/>
      <c r="G880" s="9"/>
      <c r="H880" s="9"/>
    </row>
    <row r="881">
      <c r="A881" s="9"/>
      <c r="B881" s="9"/>
      <c r="C881" s="9"/>
      <c r="D881" s="9"/>
      <c r="E881" s="9"/>
      <c r="F881" s="9"/>
      <c r="G881" s="9"/>
      <c r="H881" s="9"/>
    </row>
    <row r="882">
      <c r="A882" s="9"/>
      <c r="B882" s="9"/>
      <c r="C882" s="9"/>
      <c r="D882" s="9"/>
      <c r="E882" s="9"/>
      <c r="F882" s="9"/>
      <c r="G882" s="9"/>
      <c r="H882" s="9"/>
    </row>
    <row r="883">
      <c r="A883" s="9"/>
      <c r="B883" s="9"/>
      <c r="C883" s="9"/>
      <c r="D883" s="9"/>
      <c r="E883" s="9"/>
      <c r="F883" s="9"/>
      <c r="G883" s="9"/>
      <c r="H883" s="9"/>
    </row>
    <row r="884">
      <c r="A884" s="9"/>
      <c r="B884" s="9"/>
      <c r="C884" s="9"/>
      <c r="D884" s="9"/>
      <c r="E884" s="9"/>
      <c r="F884" s="9"/>
      <c r="G884" s="9"/>
      <c r="H884" s="9"/>
    </row>
    <row r="885">
      <c r="A885" s="9"/>
      <c r="B885" s="9"/>
      <c r="C885" s="9"/>
      <c r="D885" s="9"/>
      <c r="E885" s="9"/>
      <c r="F885" s="9"/>
      <c r="G885" s="9"/>
      <c r="H885" s="9"/>
    </row>
    <row r="886">
      <c r="A886" s="9"/>
      <c r="B886" s="9"/>
      <c r="C886" s="9"/>
      <c r="D886" s="9"/>
      <c r="E886" s="9"/>
      <c r="F886" s="9"/>
      <c r="G886" s="9"/>
      <c r="H886" s="9"/>
    </row>
    <row r="887">
      <c r="A887" s="9"/>
      <c r="B887" s="9"/>
      <c r="C887" s="9"/>
      <c r="D887" s="9"/>
      <c r="E887" s="9"/>
      <c r="F887" s="9"/>
      <c r="G887" s="9"/>
      <c r="H887" s="9"/>
    </row>
    <row r="888">
      <c r="A888" s="9"/>
      <c r="B888" s="9"/>
      <c r="C888" s="9"/>
      <c r="D888" s="9"/>
      <c r="E888" s="9"/>
      <c r="F888" s="9"/>
      <c r="G888" s="9"/>
      <c r="H888" s="9"/>
    </row>
    <row r="889">
      <c r="A889" s="9"/>
      <c r="B889" s="9"/>
      <c r="C889" s="9"/>
      <c r="D889" s="9"/>
      <c r="E889" s="9"/>
      <c r="F889" s="9"/>
      <c r="G889" s="9"/>
      <c r="H889" s="9"/>
    </row>
    <row r="890">
      <c r="A890" s="9"/>
      <c r="B890" s="9"/>
      <c r="C890" s="9"/>
      <c r="D890" s="9"/>
      <c r="E890" s="9"/>
      <c r="F890" s="9"/>
      <c r="G890" s="9"/>
      <c r="H890" s="9"/>
    </row>
    <row r="891">
      <c r="A891" s="9"/>
      <c r="B891" s="9"/>
      <c r="C891" s="9"/>
      <c r="D891" s="9"/>
      <c r="E891" s="9"/>
      <c r="F891" s="9"/>
      <c r="G891" s="9"/>
      <c r="H891" s="9"/>
    </row>
    <row r="892">
      <c r="A892" s="9"/>
      <c r="B892" s="9"/>
      <c r="C892" s="9"/>
      <c r="D892" s="9"/>
      <c r="E892" s="9"/>
      <c r="F892" s="9"/>
      <c r="G892" s="9"/>
      <c r="H892" s="9"/>
    </row>
    <row r="893">
      <c r="A893" s="9"/>
      <c r="B893" s="9"/>
      <c r="C893" s="9"/>
      <c r="D893" s="9"/>
      <c r="E893" s="9"/>
      <c r="F893" s="9"/>
      <c r="G893" s="9"/>
      <c r="H893" s="9"/>
    </row>
    <row r="894">
      <c r="A894" s="9"/>
      <c r="B894" s="9"/>
      <c r="C894" s="9"/>
      <c r="D894" s="9"/>
      <c r="E894" s="9"/>
      <c r="F894" s="9"/>
      <c r="G894" s="9"/>
      <c r="H894" s="9"/>
    </row>
    <row r="895">
      <c r="A895" s="9"/>
      <c r="B895" s="9"/>
      <c r="C895" s="9"/>
      <c r="D895" s="9"/>
      <c r="E895" s="9"/>
      <c r="F895" s="9"/>
      <c r="G895" s="9"/>
      <c r="H895" s="9"/>
    </row>
    <row r="896">
      <c r="A896" s="9"/>
      <c r="B896" s="9"/>
      <c r="C896" s="9"/>
      <c r="D896" s="9"/>
      <c r="E896" s="9"/>
      <c r="F896" s="9"/>
      <c r="G896" s="9"/>
      <c r="H896" s="9"/>
    </row>
    <row r="897">
      <c r="A897" s="9"/>
      <c r="B897" s="9"/>
      <c r="C897" s="9"/>
      <c r="D897" s="9"/>
      <c r="E897" s="9"/>
      <c r="F897" s="9"/>
      <c r="G897" s="9"/>
      <c r="H897" s="9"/>
    </row>
    <row r="898">
      <c r="A898" s="9"/>
      <c r="B898" s="9"/>
      <c r="C898" s="9"/>
      <c r="D898" s="9"/>
      <c r="E898" s="9"/>
      <c r="F898" s="9"/>
      <c r="G898" s="9"/>
      <c r="H898" s="9"/>
    </row>
    <row r="899">
      <c r="A899" s="9"/>
      <c r="B899" s="9"/>
      <c r="C899" s="9"/>
      <c r="D899" s="9"/>
      <c r="E899" s="9"/>
      <c r="F899" s="9"/>
      <c r="G899" s="9"/>
      <c r="H899" s="9"/>
    </row>
    <row r="900">
      <c r="A900" s="9"/>
      <c r="B900" s="9"/>
      <c r="C900" s="9"/>
      <c r="D900" s="9"/>
      <c r="E900" s="9"/>
      <c r="F900" s="9"/>
      <c r="G900" s="9"/>
      <c r="H900" s="9"/>
    </row>
    <row r="901">
      <c r="A901" s="9"/>
      <c r="B901" s="9"/>
      <c r="C901" s="9"/>
      <c r="D901" s="9"/>
      <c r="E901" s="9"/>
      <c r="F901" s="9"/>
      <c r="G901" s="9"/>
      <c r="H901" s="9"/>
    </row>
    <row r="902">
      <c r="A902" s="9"/>
      <c r="B902" s="9"/>
      <c r="C902" s="9"/>
      <c r="D902" s="9"/>
      <c r="E902" s="9"/>
      <c r="F902" s="9"/>
      <c r="G902" s="9"/>
      <c r="H902" s="9"/>
    </row>
    <row r="903">
      <c r="A903" s="9"/>
      <c r="B903" s="9"/>
      <c r="C903" s="9"/>
      <c r="D903" s="9"/>
      <c r="E903" s="9"/>
      <c r="F903" s="9"/>
      <c r="G903" s="9"/>
      <c r="H903" s="9"/>
    </row>
    <row r="904">
      <c r="A904" s="9"/>
      <c r="B904" s="9"/>
      <c r="C904" s="9"/>
      <c r="D904" s="9"/>
      <c r="E904" s="9"/>
      <c r="F904" s="9"/>
      <c r="G904" s="9"/>
      <c r="H904" s="9"/>
    </row>
    <row r="905">
      <c r="A905" s="9"/>
      <c r="B905" s="9"/>
      <c r="C905" s="9"/>
      <c r="D905" s="9"/>
      <c r="E905" s="9"/>
      <c r="F905" s="9"/>
      <c r="G905" s="9"/>
      <c r="H905" s="9"/>
    </row>
    <row r="906">
      <c r="A906" s="9"/>
      <c r="B906" s="9"/>
      <c r="C906" s="9"/>
      <c r="D906" s="9"/>
      <c r="E906" s="9"/>
      <c r="F906" s="9"/>
      <c r="G906" s="9"/>
      <c r="H906" s="9"/>
    </row>
    <row r="907">
      <c r="A907" s="9"/>
      <c r="B907" s="9"/>
      <c r="C907" s="9"/>
      <c r="D907" s="9"/>
      <c r="E907" s="9"/>
      <c r="F907" s="9"/>
      <c r="G907" s="9"/>
      <c r="H907" s="9"/>
    </row>
    <row r="908">
      <c r="A908" s="9"/>
      <c r="B908" s="9"/>
      <c r="C908" s="9"/>
      <c r="D908" s="9"/>
      <c r="E908" s="9"/>
      <c r="F908" s="9"/>
      <c r="G908" s="9"/>
      <c r="H908" s="9"/>
    </row>
    <row r="909">
      <c r="A909" s="9"/>
      <c r="B909" s="9"/>
      <c r="C909" s="9"/>
      <c r="D909" s="9"/>
      <c r="E909" s="9"/>
      <c r="F909" s="9"/>
      <c r="G909" s="9"/>
      <c r="H909" s="9"/>
    </row>
    <row r="910">
      <c r="A910" s="9"/>
      <c r="B910" s="9"/>
      <c r="C910" s="9"/>
      <c r="D910" s="9"/>
      <c r="E910" s="9"/>
      <c r="F910" s="9"/>
      <c r="G910" s="9"/>
      <c r="H910" s="9"/>
    </row>
    <row r="911">
      <c r="A911" s="9"/>
      <c r="B911" s="9"/>
      <c r="C911" s="9"/>
      <c r="D911" s="9"/>
      <c r="E911" s="9"/>
      <c r="F911" s="9"/>
      <c r="G911" s="9"/>
      <c r="H911" s="9"/>
    </row>
    <row r="912">
      <c r="A912" s="9"/>
      <c r="B912" s="9"/>
      <c r="C912" s="9"/>
      <c r="D912" s="9"/>
      <c r="E912" s="9"/>
      <c r="F912" s="9"/>
      <c r="G912" s="9"/>
      <c r="H912" s="9"/>
    </row>
    <row r="913">
      <c r="A913" s="9"/>
      <c r="B913" s="9"/>
      <c r="C913" s="9"/>
      <c r="D913" s="9"/>
      <c r="E913" s="9"/>
      <c r="F913" s="9"/>
      <c r="G913" s="9"/>
      <c r="H913" s="9"/>
    </row>
    <row r="914">
      <c r="A914" s="9"/>
      <c r="B914" s="9"/>
      <c r="C914" s="9"/>
      <c r="D914" s="9"/>
      <c r="E914" s="9"/>
      <c r="F914" s="9"/>
      <c r="G914" s="9"/>
      <c r="H914" s="9"/>
    </row>
    <row r="915">
      <c r="A915" s="9"/>
      <c r="B915" s="9"/>
      <c r="C915" s="9"/>
      <c r="D915" s="9"/>
      <c r="E915" s="9"/>
      <c r="F915" s="9"/>
      <c r="G915" s="9"/>
      <c r="H915" s="9"/>
    </row>
    <row r="916">
      <c r="A916" s="9"/>
      <c r="B916" s="9"/>
      <c r="C916" s="9"/>
      <c r="D916" s="9"/>
      <c r="E916" s="9"/>
      <c r="F916" s="9"/>
      <c r="G916" s="9"/>
      <c r="H916" s="9"/>
    </row>
    <row r="917">
      <c r="A917" s="9"/>
      <c r="B917" s="9"/>
      <c r="C917" s="9"/>
      <c r="D917" s="9"/>
      <c r="E917" s="9"/>
      <c r="F917" s="9"/>
      <c r="G917" s="9"/>
      <c r="H917" s="9"/>
    </row>
    <row r="918">
      <c r="A918" s="9"/>
      <c r="B918" s="9"/>
      <c r="C918" s="9"/>
      <c r="D918" s="9"/>
      <c r="E918" s="9"/>
      <c r="F918" s="9"/>
      <c r="G918" s="9"/>
      <c r="H918" s="9"/>
    </row>
    <row r="919">
      <c r="A919" s="9"/>
      <c r="B919" s="9"/>
      <c r="C919" s="9"/>
      <c r="D919" s="9"/>
      <c r="E919" s="9"/>
      <c r="F919" s="9"/>
      <c r="G919" s="9"/>
      <c r="H919" s="9"/>
    </row>
    <row r="920">
      <c r="A920" s="9"/>
      <c r="B920" s="9"/>
      <c r="C920" s="9"/>
      <c r="D920" s="9"/>
      <c r="E920" s="9"/>
      <c r="F920" s="9"/>
      <c r="G920" s="9"/>
      <c r="H920" s="9"/>
    </row>
    <row r="921">
      <c r="A921" s="9"/>
      <c r="B921" s="9"/>
      <c r="C921" s="9"/>
      <c r="D921" s="9"/>
      <c r="E921" s="9"/>
      <c r="F921" s="9"/>
      <c r="G921" s="9"/>
      <c r="H921" s="9"/>
    </row>
    <row r="922">
      <c r="A922" s="9"/>
      <c r="B922" s="9"/>
      <c r="C922" s="9"/>
      <c r="D922" s="9"/>
      <c r="E922" s="9"/>
      <c r="F922" s="9"/>
      <c r="G922" s="9"/>
      <c r="H922" s="9"/>
    </row>
    <row r="923">
      <c r="A923" s="9"/>
      <c r="B923" s="9"/>
      <c r="C923" s="9"/>
      <c r="D923" s="9"/>
      <c r="E923" s="9"/>
      <c r="F923" s="9"/>
      <c r="G923" s="9"/>
      <c r="H923" s="9"/>
    </row>
    <row r="924">
      <c r="A924" s="9"/>
      <c r="B924" s="9"/>
      <c r="C924" s="9"/>
      <c r="D924" s="9"/>
      <c r="E924" s="9"/>
      <c r="F924" s="9"/>
      <c r="G924" s="9"/>
      <c r="H924" s="9"/>
    </row>
    <row r="925">
      <c r="A925" s="9"/>
      <c r="B925" s="9"/>
      <c r="C925" s="9"/>
      <c r="D925" s="9"/>
      <c r="E925" s="9"/>
      <c r="F925" s="9"/>
      <c r="G925" s="9"/>
      <c r="H925" s="9"/>
    </row>
    <row r="926">
      <c r="A926" s="9"/>
      <c r="B926" s="9"/>
      <c r="C926" s="9"/>
      <c r="D926" s="9"/>
      <c r="E926" s="9"/>
      <c r="F926" s="9"/>
      <c r="G926" s="9"/>
      <c r="H926" s="9"/>
    </row>
    <row r="927">
      <c r="A927" s="9"/>
      <c r="B927" s="9"/>
      <c r="C927" s="9"/>
      <c r="D927" s="9"/>
      <c r="E927" s="9"/>
      <c r="F927" s="9"/>
      <c r="G927" s="9"/>
      <c r="H927" s="9"/>
    </row>
    <row r="928">
      <c r="A928" s="9"/>
      <c r="B928" s="9"/>
      <c r="C928" s="9"/>
      <c r="D928" s="9"/>
      <c r="E928" s="9"/>
      <c r="F928" s="9"/>
      <c r="G928" s="9"/>
      <c r="H928" s="9"/>
    </row>
    <row r="929">
      <c r="A929" s="9"/>
      <c r="B929" s="9"/>
      <c r="C929" s="9"/>
      <c r="D929" s="9"/>
      <c r="E929" s="9"/>
      <c r="F929" s="9"/>
      <c r="G929" s="9"/>
      <c r="H929" s="9"/>
    </row>
    <row r="930">
      <c r="A930" s="9"/>
      <c r="B930" s="9"/>
      <c r="C930" s="9"/>
      <c r="D930" s="9"/>
      <c r="E930" s="9"/>
      <c r="F930" s="9"/>
      <c r="G930" s="9"/>
      <c r="H930" s="9"/>
    </row>
    <row r="931">
      <c r="A931" s="9"/>
      <c r="B931" s="9"/>
      <c r="C931" s="9"/>
      <c r="D931" s="9"/>
      <c r="E931" s="9"/>
      <c r="F931" s="9"/>
      <c r="G931" s="9"/>
      <c r="H931" s="9"/>
    </row>
    <row r="932">
      <c r="A932" s="9"/>
      <c r="B932" s="9"/>
      <c r="C932" s="9"/>
      <c r="D932" s="9"/>
      <c r="E932" s="9"/>
      <c r="F932" s="9"/>
      <c r="G932" s="9"/>
      <c r="H932" s="9"/>
    </row>
    <row r="933">
      <c r="A933" s="9"/>
      <c r="B933" s="9"/>
      <c r="C933" s="9"/>
      <c r="D933" s="9"/>
      <c r="E933" s="9"/>
      <c r="F933" s="9"/>
      <c r="G933" s="9"/>
      <c r="H933" s="9"/>
    </row>
    <row r="934">
      <c r="A934" s="9"/>
      <c r="B934" s="9"/>
      <c r="C934" s="9"/>
      <c r="D934" s="9"/>
      <c r="E934" s="9"/>
      <c r="F934" s="9"/>
      <c r="G934" s="9"/>
      <c r="H934" s="9"/>
    </row>
    <row r="935">
      <c r="A935" s="9"/>
      <c r="B935" s="9"/>
      <c r="C935" s="9"/>
      <c r="D935" s="9"/>
      <c r="E935" s="9"/>
      <c r="F935" s="9"/>
      <c r="G935" s="9"/>
      <c r="H935" s="9"/>
    </row>
    <row r="936">
      <c r="A936" s="9"/>
      <c r="B936" s="9"/>
      <c r="C936" s="9"/>
      <c r="D936" s="9"/>
      <c r="E936" s="9"/>
      <c r="F936" s="9"/>
      <c r="G936" s="9"/>
      <c r="H936" s="9"/>
    </row>
    <row r="937">
      <c r="A937" s="9"/>
      <c r="B937" s="9"/>
      <c r="C937" s="9"/>
      <c r="D937" s="9"/>
      <c r="E937" s="9"/>
      <c r="F937" s="9"/>
      <c r="G937" s="9"/>
      <c r="H937" s="9"/>
    </row>
    <row r="938">
      <c r="A938" s="9"/>
      <c r="B938" s="9"/>
      <c r="C938" s="9"/>
      <c r="D938" s="9"/>
      <c r="E938" s="9"/>
      <c r="F938" s="9"/>
      <c r="G938" s="9"/>
      <c r="H938" s="9"/>
    </row>
    <row r="939">
      <c r="A939" s="9"/>
      <c r="B939" s="9"/>
      <c r="C939" s="9"/>
      <c r="D939" s="9"/>
      <c r="E939" s="9"/>
      <c r="F939" s="9"/>
      <c r="G939" s="9"/>
      <c r="H939" s="9"/>
    </row>
    <row r="940">
      <c r="A940" s="9"/>
      <c r="B940" s="9"/>
      <c r="C940" s="9"/>
      <c r="D940" s="9"/>
      <c r="E940" s="9"/>
      <c r="F940" s="9"/>
      <c r="G940" s="9"/>
      <c r="H940" s="9"/>
    </row>
    <row r="941">
      <c r="A941" s="9"/>
      <c r="B941" s="9"/>
      <c r="C941" s="9"/>
      <c r="D941" s="9"/>
      <c r="E941" s="9"/>
      <c r="F941" s="9"/>
      <c r="G941" s="9"/>
      <c r="H941" s="9"/>
    </row>
    <row r="942">
      <c r="A942" s="9"/>
      <c r="B942" s="9"/>
      <c r="C942" s="9"/>
      <c r="D942" s="9"/>
      <c r="E942" s="9"/>
      <c r="F942" s="9"/>
      <c r="G942" s="9"/>
      <c r="H942" s="9"/>
    </row>
    <row r="943">
      <c r="A943" s="9"/>
      <c r="B943" s="9"/>
      <c r="C943" s="9"/>
      <c r="D943" s="9"/>
      <c r="E943" s="9"/>
      <c r="F943" s="9"/>
      <c r="G943" s="9"/>
      <c r="H943" s="9"/>
    </row>
    <row r="944">
      <c r="A944" s="9"/>
      <c r="B944" s="9"/>
      <c r="C944" s="9"/>
      <c r="D944" s="9"/>
      <c r="E944" s="9"/>
      <c r="F944" s="9"/>
      <c r="G944" s="9"/>
      <c r="H944" s="9"/>
    </row>
    <row r="945">
      <c r="A945" s="9"/>
      <c r="B945" s="9"/>
      <c r="C945" s="9"/>
      <c r="D945" s="9"/>
      <c r="E945" s="9"/>
      <c r="F945" s="9"/>
      <c r="G945" s="9"/>
      <c r="H945" s="9"/>
    </row>
    <row r="946">
      <c r="A946" s="9"/>
      <c r="B946" s="9"/>
      <c r="C946" s="9"/>
      <c r="D946" s="9"/>
      <c r="E946" s="9"/>
      <c r="F946" s="9"/>
      <c r="G946" s="9"/>
      <c r="H946" s="9"/>
    </row>
    <row r="947">
      <c r="A947" s="9"/>
      <c r="B947" s="9"/>
      <c r="C947" s="9"/>
      <c r="D947" s="9"/>
      <c r="E947" s="9"/>
      <c r="F947" s="9"/>
      <c r="G947" s="9"/>
      <c r="H947" s="9"/>
    </row>
    <row r="948">
      <c r="A948" s="9"/>
      <c r="B948" s="9"/>
      <c r="C948" s="9"/>
      <c r="D948" s="9"/>
      <c r="E948" s="9"/>
      <c r="F948" s="9"/>
      <c r="G948" s="9"/>
      <c r="H948" s="9"/>
    </row>
    <row r="949">
      <c r="A949" s="9"/>
      <c r="B949" s="9"/>
      <c r="C949" s="9"/>
      <c r="D949" s="9"/>
      <c r="E949" s="9"/>
      <c r="F949" s="9"/>
      <c r="G949" s="9"/>
      <c r="H949" s="9"/>
    </row>
    <row r="950">
      <c r="A950" s="9"/>
      <c r="B950" s="9"/>
      <c r="C950" s="9"/>
      <c r="D950" s="9"/>
      <c r="E950" s="9"/>
      <c r="F950" s="9"/>
      <c r="G950" s="9"/>
      <c r="H950" s="9"/>
    </row>
    <row r="951">
      <c r="A951" s="9"/>
      <c r="B951" s="9"/>
      <c r="C951" s="9"/>
      <c r="D951" s="9"/>
      <c r="E951" s="9"/>
      <c r="F951" s="9"/>
      <c r="G951" s="9"/>
      <c r="H951" s="9"/>
    </row>
    <row r="952">
      <c r="A952" s="9"/>
      <c r="B952" s="9"/>
      <c r="C952" s="9"/>
      <c r="D952" s="9"/>
      <c r="E952" s="9"/>
      <c r="F952" s="9"/>
      <c r="G952" s="9"/>
      <c r="H952" s="9"/>
    </row>
    <row r="953">
      <c r="A953" s="9"/>
      <c r="B953" s="9"/>
      <c r="C953" s="9"/>
      <c r="D953" s="9"/>
      <c r="E953" s="9"/>
      <c r="F953" s="9"/>
      <c r="G953" s="9"/>
      <c r="H953" s="9"/>
    </row>
    <row r="954">
      <c r="A954" s="9"/>
      <c r="B954" s="9"/>
      <c r="C954" s="9"/>
      <c r="D954" s="9"/>
      <c r="E954" s="9"/>
      <c r="F954" s="9"/>
      <c r="G954" s="9"/>
      <c r="H954" s="9"/>
    </row>
    <row r="955">
      <c r="A955" s="9"/>
      <c r="B955" s="9"/>
      <c r="C955" s="9"/>
      <c r="D955" s="9"/>
      <c r="E955" s="9"/>
      <c r="F955" s="9"/>
      <c r="G955" s="9"/>
      <c r="H955" s="9"/>
    </row>
    <row r="956">
      <c r="A956" s="9"/>
      <c r="B956" s="9"/>
      <c r="C956" s="9"/>
      <c r="D956" s="9"/>
      <c r="E956" s="9"/>
      <c r="F956" s="9"/>
      <c r="G956" s="9"/>
      <c r="H956" s="9"/>
    </row>
    <row r="957">
      <c r="A957" s="9"/>
      <c r="B957" s="9"/>
      <c r="C957" s="9"/>
      <c r="D957" s="9"/>
      <c r="E957" s="9"/>
      <c r="F957" s="9"/>
      <c r="G957" s="9"/>
      <c r="H957" s="9"/>
    </row>
    <row r="958">
      <c r="A958" s="9"/>
      <c r="B958" s="9"/>
      <c r="C958" s="9"/>
      <c r="D958" s="9"/>
      <c r="E958" s="9"/>
      <c r="F958" s="9"/>
      <c r="G958" s="9"/>
      <c r="H958" s="9"/>
    </row>
    <row r="959">
      <c r="A959" s="9"/>
      <c r="B959" s="9"/>
      <c r="C959" s="9"/>
      <c r="D959" s="9"/>
      <c r="E959" s="9"/>
      <c r="F959" s="9"/>
      <c r="G959" s="9"/>
      <c r="H959" s="9"/>
    </row>
    <row r="960">
      <c r="A960" s="9"/>
      <c r="B960" s="9"/>
      <c r="C960" s="9"/>
      <c r="D960" s="9"/>
      <c r="E960" s="9"/>
      <c r="F960" s="9"/>
      <c r="G960" s="9"/>
      <c r="H960" s="9"/>
    </row>
    <row r="961">
      <c r="A961" s="9"/>
      <c r="B961" s="9"/>
      <c r="C961" s="9"/>
      <c r="D961" s="9"/>
      <c r="E961" s="9"/>
      <c r="F961" s="9"/>
      <c r="G961" s="9"/>
      <c r="H961" s="9"/>
    </row>
    <row r="962">
      <c r="A962" s="9"/>
      <c r="B962" s="9"/>
      <c r="C962" s="9"/>
      <c r="D962" s="9"/>
      <c r="E962" s="9"/>
      <c r="F962" s="9"/>
      <c r="G962" s="9"/>
      <c r="H962" s="9"/>
    </row>
    <row r="963">
      <c r="A963" s="9"/>
      <c r="B963" s="9"/>
      <c r="C963" s="9"/>
      <c r="D963" s="9"/>
      <c r="E963" s="9"/>
      <c r="F963" s="9"/>
      <c r="G963" s="9"/>
      <c r="H963" s="9"/>
    </row>
    <row r="964">
      <c r="A964" s="9"/>
      <c r="B964" s="9"/>
      <c r="C964" s="9"/>
      <c r="D964" s="9"/>
      <c r="E964" s="9"/>
      <c r="F964" s="9"/>
      <c r="G964" s="9"/>
      <c r="H964" s="9"/>
    </row>
    <row r="965">
      <c r="A965" s="9"/>
      <c r="B965" s="9"/>
      <c r="C965" s="9"/>
      <c r="D965" s="9"/>
      <c r="E965" s="9"/>
      <c r="F965" s="9"/>
      <c r="G965" s="9"/>
      <c r="H965" s="9"/>
    </row>
    <row r="966">
      <c r="A966" s="9"/>
      <c r="B966" s="9"/>
      <c r="C966" s="9"/>
      <c r="D966" s="9"/>
      <c r="E966" s="9"/>
      <c r="F966" s="9"/>
      <c r="G966" s="9"/>
      <c r="H966" s="9"/>
    </row>
    <row r="967">
      <c r="A967" s="9"/>
      <c r="B967" s="9"/>
      <c r="C967" s="9"/>
      <c r="D967" s="9"/>
      <c r="E967" s="9"/>
      <c r="F967" s="9"/>
      <c r="G967" s="9"/>
      <c r="H967" s="9"/>
    </row>
    <row r="968">
      <c r="A968" s="9"/>
      <c r="B968" s="9"/>
      <c r="C968" s="9"/>
      <c r="D968" s="9"/>
      <c r="E968" s="9"/>
      <c r="F968" s="9"/>
      <c r="G968" s="9"/>
      <c r="H968" s="9"/>
    </row>
    <row r="969">
      <c r="A969" s="9"/>
      <c r="B969" s="9"/>
      <c r="C969" s="9"/>
      <c r="D969" s="9"/>
      <c r="E969" s="9"/>
      <c r="F969" s="9"/>
      <c r="G969" s="9"/>
      <c r="H969" s="9"/>
    </row>
    <row r="970">
      <c r="A970" s="9"/>
      <c r="B970" s="9"/>
      <c r="C970" s="9"/>
      <c r="D970" s="9"/>
      <c r="E970" s="9"/>
      <c r="F970" s="9"/>
      <c r="G970" s="9"/>
      <c r="H970" s="9"/>
    </row>
    <row r="971">
      <c r="A971" s="9"/>
      <c r="B971" s="9"/>
      <c r="C971" s="9"/>
      <c r="D971" s="9"/>
      <c r="E971" s="9"/>
      <c r="F971" s="9"/>
      <c r="G971" s="9"/>
      <c r="H971" s="9"/>
    </row>
    <row r="972">
      <c r="A972" s="9"/>
      <c r="B972" s="9"/>
      <c r="C972" s="9"/>
      <c r="D972" s="9"/>
      <c r="E972" s="9"/>
      <c r="F972" s="9"/>
      <c r="G972" s="9"/>
      <c r="H972" s="9"/>
    </row>
    <row r="973">
      <c r="A973" s="9"/>
      <c r="B973" s="9"/>
      <c r="C973" s="9"/>
      <c r="D973" s="9"/>
      <c r="E973" s="9"/>
      <c r="F973" s="9"/>
      <c r="G973" s="9"/>
      <c r="H973" s="9"/>
    </row>
    <row r="974">
      <c r="A974" s="9"/>
      <c r="B974" s="9"/>
      <c r="C974" s="9"/>
      <c r="D974" s="9"/>
      <c r="E974" s="9"/>
      <c r="F974" s="9"/>
      <c r="G974" s="9"/>
      <c r="H974" s="9"/>
    </row>
    <row r="975">
      <c r="A975" s="9"/>
      <c r="B975" s="9"/>
      <c r="C975" s="9"/>
      <c r="D975" s="9"/>
      <c r="E975" s="9"/>
      <c r="F975" s="9"/>
      <c r="G975" s="9"/>
      <c r="H975" s="9"/>
    </row>
    <row r="976">
      <c r="A976" s="9"/>
      <c r="B976" s="9"/>
      <c r="C976" s="9"/>
      <c r="D976" s="9"/>
      <c r="E976" s="9"/>
      <c r="F976" s="9"/>
      <c r="G976" s="9"/>
      <c r="H976" s="9"/>
    </row>
    <row r="977">
      <c r="A977" s="9"/>
      <c r="B977" s="9"/>
      <c r="C977" s="9"/>
      <c r="D977" s="9"/>
      <c r="E977" s="9"/>
      <c r="F977" s="9"/>
      <c r="G977" s="9"/>
      <c r="H977" s="9"/>
    </row>
    <row r="978">
      <c r="A978" s="9"/>
      <c r="B978" s="9"/>
      <c r="C978" s="9"/>
      <c r="D978" s="9"/>
      <c r="E978" s="9"/>
      <c r="F978" s="9"/>
      <c r="G978" s="9"/>
      <c r="H978" s="9"/>
    </row>
    <row r="979">
      <c r="A979" s="9"/>
      <c r="B979" s="9"/>
      <c r="C979" s="9"/>
      <c r="D979" s="9"/>
      <c r="E979" s="9"/>
      <c r="F979" s="9"/>
      <c r="G979" s="9"/>
      <c r="H979" s="9"/>
    </row>
    <row r="980">
      <c r="A980" s="9"/>
      <c r="B980" s="9"/>
      <c r="C980" s="9"/>
      <c r="D980" s="9"/>
      <c r="E980" s="9"/>
      <c r="F980" s="9"/>
      <c r="G980" s="9"/>
      <c r="H980" s="9"/>
    </row>
    <row r="981">
      <c r="A981" s="9"/>
      <c r="B981" s="9"/>
      <c r="C981" s="9"/>
      <c r="D981" s="9"/>
      <c r="E981" s="9"/>
      <c r="F981" s="9"/>
      <c r="G981" s="9"/>
      <c r="H981" s="9"/>
    </row>
    <row r="982">
      <c r="A982" s="9"/>
      <c r="B982" s="9"/>
      <c r="C982" s="9"/>
      <c r="D982" s="9"/>
      <c r="E982" s="9"/>
      <c r="F982" s="9"/>
      <c r="G982" s="9"/>
      <c r="H982" s="9"/>
    </row>
    <row r="983">
      <c r="A983" s="9"/>
      <c r="B983" s="9"/>
      <c r="C983" s="9"/>
      <c r="D983" s="9"/>
      <c r="E983" s="9"/>
      <c r="F983" s="9"/>
      <c r="G983" s="9"/>
      <c r="H983" s="9"/>
    </row>
    <row r="984">
      <c r="A984" s="9"/>
      <c r="B984" s="9"/>
      <c r="C984" s="9"/>
      <c r="D984" s="9"/>
      <c r="E984" s="9"/>
      <c r="F984" s="9"/>
      <c r="G984" s="9"/>
      <c r="H984" s="9"/>
    </row>
    <row r="985">
      <c r="A985" s="9"/>
      <c r="B985" s="9"/>
      <c r="C985" s="9"/>
      <c r="D985" s="9"/>
      <c r="E985" s="9"/>
      <c r="F985" s="9"/>
      <c r="G985" s="9"/>
      <c r="H985" s="9"/>
    </row>
    <row r="986">
      <c r="A986" s="9"/>
      <c r="B986" s="9"/>
      <c r="C986" s="9"/>
      <c r="D986" s="9"/>
      <c r="E986" s="9"/>
      <c r="F986" s="9"/>
      <c r="G986" s="9"/>
      <c r="H986" s="9"/>
    </row>
    <row r="987">
      <c r="A987" s="9"/>
      <c r="B987" s="9"/>
      <c r="C987" s="9"/>
      <c r="D987" s="9"/>
      <c r="E987" s="9"/>
      <c r="F987" s="9"/>
      <c r="G987" s="9"/>
      <c r="H987" s="9"/>
    </row>
    <row r="988">
      <c r="A988" s="9"/>
      <c r="B988" s="9"/>
      <c r="C988" s="9"/>
      <c r="D988" s="9"/>
      <c r="E988" s="9"/>
      <c r="F988" s="9"/>
      <c r="G988" s="9"/>
      <c r="H988" s="9"/>
    </row>
    <row r="989">
      <c r="A989" s="9"/>
      <c r="B989" s="9"/>
      <c r="C989" s="9"/>
      <c r="D989" s="9"/>
      <c r="E989" s="9"/>
      <c r="F989" s="9"/>
      <c r="G989" s="9"/>
      <c r="H989" s="9"/>
    </row>
    <row r="990">
      <c r="A990" s="9"/>
      <c r="B990" s="9"/>
      <c r="C990" s="9"/>
      <c r="D990" s="9"/>
      <c r="E990" s="9"/>
      <c r="F990" s="9"/>
      <c r="G990" s="9"/>
      <c r="H990" s="9"/>
    </row>
    <row r="991">
      <c r="A991" s="9"/>
      <c r="B991" s="9"/>
      <c r="C991" s="9"/>
      <c r="D991" s="9"/>
      <c r="E991" s="9"/>
      <c r="F991" s="9"/>
      <c r="G991" s="9"/>
      <c r="H991" s="9"/>
    </row>
    <row r="992">
      <c r="A992" s="9"/>
      <c r="B992" s="9"/>
      <c r="C992" s="9"/>
      <c r="D992" s="9"/>
      <c r="E992" s="9"/>
      <c r="F992" s="9"/>
      <c r="G992" s="9"/>
      <c r="H992" s="9"/>
    </row>
    <row r="993">
      <c r="A993" s="9"/>
      <c r="B993" s="9"/>
      <c r="C993" s="9"/>
      <c r="D993" s="9"/>
      <c r="E993" s="9"/>
      <c r="F993" s="9"/>
      <c r="G993" s="9"/>
      <c r="H993" s="9"/>
    </row>
    <row r="994">
      <c r="A994" s="9"/>
      <c r="B994" s="9"/>
      <c r="C994" s="9"/>
      <c r="D994" s="9"/>
      <c r="E994" s="9"/>
      <c r="F994" s="9"/>
      <c r="G994" s="9"/>
      <c r="H994" s="9"/>
    </row>
    <row r="995">
      <c r="A995" s="9"/>
      <c r="B995" s="9"/>
      <c r="C995" s="9"/>
      <c r="D995" s="9"/>
      <c r="E995" s="9"/>
      <c r="F995" s="9"/>
      <c r="G995" s="9"/>
      <c r="H995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5"/>
    <col customWidth="1" min="2" max="2" width="23.5"/>
  </cols>
  <sheetData>
    <row r="1"/>
    <row r="2"/>
    <row r="3"/>
    <row r="4"/>
    <row r="5"/>
    <row r="6"/>
    <row r="7"/>
    <row r="8"/>
    <row r="9"/>
    <row r="10"/>
    <row r="11"/>
    <row r="12">
      <c r="A12" s="10"/>
      <c r="B12" s="10"/>
    </row>
    <row r="13"/>
    <row r="14"/>
    <row r="15"/>
    <row r="16"/>
    <row r="17"/>
    <row r="18"/>
    <row r="19"/>
    <row r="20"/>
    <row r="21"/>
    <row r="22"/>
    <row r="23"/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6.63"/>
  </cols>
  <sheetData>
    <row r="1">
      <c r="A1" s="12" t="s">
        <v>311</v>
      </c>
      <c r="B1" s="9"/>
    </row>
    <row r="2">
      <c r="A2" s="4" t="s">
        <v>275</v>
      </c>
      <c r="B2" s="3" t="s">
        <v>312</v>
      </c>
    </row>
    <row r="3">
      <c r="A3" s="4" t="s">
        <v>313</v>
      </c>
      <c r="B3" s="3" t="s">
        <v>314</v>
      </c>
    </row>
    <row r="4">
      <c r="A4" s="4" t="s">
        <v>277</v>
      </c>
      <c r="B4" s="3" t="s">
        <v>315</v>
      </c>
    </row>
    <row r="5">
      <c r="A5" s="3" t="s">
        <v>278</v>
      </c>
      <c r="B5" s="3" t="s">
        <v>316</v>
      </c>
    </row>
    <row r="6">
      <c r="A6" s="3" t="s">
        <v>279</v>
      </c>
      <c r="B6" s="3" t="s">
        <v>317</v>
      </c>
    </row>
    <row r="7">
      <c r="A7" s="4" t="s">
        <v>280</v>
      </c>
      <c r="B7" s="3" t="s">
        <v>318</v>
      </c>
    </row>
    <row r="8">
      <c r="A8" s="4" t="s">
        <v>281</v>
      </c>
      <c r="B8" s="3" t="s">
        <v>319</v>
      </c>
    </row>
    <row r="9">
      <c r="A9" s="4" t="s">
        <v>282</v>
      </c>
      <c r="B9" s="3" t="s">
        <v>320</v>
      </c>
    </row>
    <row r="10">
      <c r="A10" s="13" t="s">
        <v>274</v>
      </c>
      <c r="B10" s="3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5" max="6" width="14.75"/>
    <col customWidth="1" min="7" max="7" width="16.63"/>
  </cols>
  <sheetData>
    <row r="1" ht="18.0" customHeight="1">
      <c r="A1" s="21" t="s">
        <v>275</v>
      </c>
      <c r="B1" s="4" t="s">
        <v>321</v>
      </c>
      <c r="C1" s="4" t="s">
        <v>322</v>
      </c>
      <c r="D1" s="4" t="s">
        <v>323</v>
      </c>
      <c r="E1" s="2" t="s">
        <v>324</v>
      </c>
      <c r="F1" s="2" t="s">
        <v>325</v>
      </c>
      <c r="G1" s="2" t="s">
        <v>326</v>
      </c>
      <c r="H1" s="2" t="s">
        <v>327</v>
      </c>
      <c r="I1" s="2" t="s">
        <v>328</v>
      </c>
      <c r="J1" s="2" t="s">
        <v>329</v>
      </c>
      <c r="K1" s="2"/>
      <c r="L1" s="2"/>
      <c r="M1" s="2" t="s">
        <v>330</v>
      </c>
      <c r="N1" s="2" t="s">
        <v>331</v>
      </c>
      <c r="O1" s="22">
        <v>46270.0</v>
      </c>
      <c r="P1" s="2" t="s">
        <v>332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>
      <c r="A2" s="24" t="s">
        <v>333</v>
      </c>
      <c r="B2" s="25">
        <v>0.0</v>
      </c>
      <c r="C2" s="25">
        <v>0.0</v>
      </c>
      <c r="D2" s="25">
        <v>0.0</v>
      </c>
      <c r="E2" s="26">
        <f> B2 / (population_dop_znach!B$2 + population_dop_znach!C$2) * 100000</f>
        <v>0</v>
      </c>
      <c r="F2" s="26">
        <f> C2/ (population_dop_znach!B$3 + population_dop_znach!C$3) * 100000</f>
        <v>0</v>
      </c>
      <c r="G2" s="26">
        <f> D2 / (population_dop_znach!B$4 + population_dop_znach!C$4) * 100000</f>
        <v>0</v>
      </c>
      <c r="H2" s="27" t="str">
        <f t="shared" ref="H2:H49" si="2">IF(E2 &gt; $N$2, "Выброс", "Нет")</f>
        <v>Нет</v>
      </c>
      <c r="I2" s="27" t="str">
        <f t="shared" ref="I2:I49" si="3">IF(F2 &gt; $O$2, "Выброс", "Нет")</f>
        <v>Нет</v>
      </c>
      <c r="J2" s="27" t="str">
        <f t="shared" ref="J2:J49" si="4">IF(F2 &gt; $P$2, "Выброс", "Нет")</f>
        <v>Нет</v>
      </c>
      <c r="K2" s="27"/>
      <c r="L2" s="27"/>
      <c r="M2" s="2" t="s">
        <v>334</v>
      </c>
      <c r="N2" s="28">
        <f t="shared" ref="N2:P2" si="1">PERCENTILE(E1:E1002, 0.95)</f>
        <v>1.658025615</v>
      </c>
      <c r="O2" s="28">
        <f t="shared" si="1"/>
        <v>0.7964137165</v>
      </c>
      <c r="P2" s="28">
        <f t="shared" si="1"/>
        <v>1.04322077</v>
      </c>
      <c r="Q2" s="29"/>
      <c r="R2" s="30"/>
      <c r="S2" s="29"/>
      <c r="T2" s="30"/>
      <c r="U2" s="29"/>
      <c r="V2" s="30"/>
      <c r="W2" s="29"/>
      <c r="X2" s="29"/>
      <c r="Y2" s="29"/>
      <c r="Z2" s="29"/>
      <c r="AA2" s="29"/>
      <c r="AB2" s="29"/>
      <c r="AC2" s="29"/>
      <c r="AD2" s="29"/>
      <c r="AE2" s="29"/>
    </row>
    <row r="3">
      <c r="A3" s="24" t="s">
        <v>335</v>
      </c>
      <c r="B3" s="25">
        <v>0.0</v>
      </c>
      <c r="C3" s="25">
        <v>0.0</v>
      </c>
      <c r="D3" s="25">
        <v>0.0</v>
      </c>
      <c r="E3" s="26">
        <f> B3 / (population_dop_znach!B$2 + population_dop_znach!C$2) * 100000</f>
        <v>0</v>
      </c>
      <c r="F3" s="26">
        <f> C3/ (population_dop_znach!B$3 + population_dop_znach!C$3) * 100000</f>
        <v>0</v>
      </c>
      <c r="G3" s="26">
        <f> D3 / (population_dop_znach!B$4 + population_dop_znach!C$4) * 100000</f>
        <v>0</v>
      </c>
      <c r="H3" s="27" t="str">
        <f t="shared" si="2"/>
        <v>Нет</v>
      </c>
      <c r="I3" s="27" t="str">
        <f t="shared" si="3"/>
        <v>Нет</v>
      </c>
      <c r="J3" s="27" t="str">
        <f t="shared" si="4"/>
        <v>Нет</v>
      </c>
      <c r="K3" s="27"/>
      <c r="L3" s="27"/>
      <c r="M3" s="2"/>
      <c r="N3" s="28"/>
      <c r="O3" s="28"/>
      <c r="P3" s="28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>
      <c r="A4" s="24" t="s">
        <v>283</v>
      </c>
      <c r="B4" s="25">
        <v>1.0</v>
      </c>
      <c r="C4" s="25">
        <v>1.0</v>
      </c>
      <c r="D4" s="25">
        <v>3.0</v>
      </c>
      <c r="E4" s="26">
        <f> B4 / (population_dop_znach!B$2 + population_dop_znach!C$2) * 100000</f>
        <v>0.01389795151</v>
      </c>
      <c r="F4" s="26">
        <f> C4/ (population_dop_znach!B$3 + population_dop_znach!C$3) * 100000</f>
        <v>0.01066863652</v>
      </c>
      <c r="G4" s="26">
        <f> D4 / (population_dop_znach!B$4 + population_dop_znach!C$4) * 100000</f>
        <v>0.03343656315</v>
      </c>
      <c r="H4" s="27" t="str">
        <f t="shared" si="2"/>
        <v>Нет</v>
      </c>
      <c r="I4" s="27" t="str">
        <f t="shared" si="3"/>
        <v>Нет</v>
      </c>
      <c r="J4" s="27" t="str">
        <f t="shared" si="4"/>
        <v>Нет</v>
      </c>
      <c r="K4" s="27"/>
      <c r="L4" s="27"/>
      <c r="M4" s="27"/>
      <c r="N4" s="27"/>
      <c r="O4" s="27"/>
      <c r="P4" s="27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>
      <c r="A5" s="24" t="s">
        <v>284</v>
      </c>
      <c r="B5" s="25">
        <v>1.0</v>
      </c>
      <c r="C5" s="25">
        <v>0.0</v>
      </c>
      <c r="D5" s="25">
        <v>2.0</v>
      </c>
      <c r="E5" s="26">
        <f> B5 / (population_dop_znach!B$2 + population_dop_znach!C$2) * 100000</f>
        <v>0.01389795151</v>
      </c>
      <c r="F5" s="26">
        <f> C5/ (population_dop_znach!B$3 + population_dop_znach!C$3) * 100000</f>
        <v>0</v>
      </c>
      <c r="G5" s="26">
        <f> D5 / (population_dop_znach!B$4 + population_dop_znach!C$4) * 100000</f>
        <v>0.0222910421</v>
      </c>
      <c r="H5" s="27" t="str">
        <f t="shared" si="2"/>
        <v>Нет</v>
      </c>
      <c r="I5" s="27" t="str">
        <f t="shared" si="3"/>
        <v>Нет</v>
      </c>
      <c r="J5" s="27" t="str">
        <f t="shared" si="4"/>
        <v>Нет</v>
      </c>
      <c r="K5" s="27"/>
      <c r="L5" s="27"/>
      <c r="M5" s="27"/>
      <c r="N5" s="27"/>
      <c r="O5" s="27"/>
      <c r="P5" s="27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>
      <c r="A6" s="31" t="s">
        <v>285</v>
      </c>
      <c r="B6" s="25">
        <v>0.0</v>
      </c>
      <c r="C6" s="25">
        <v>0.0</v>
      </c>
      <c r="D6" s="25">
        <v>0.0</v>
      </c>
      <c r="E6" s="26">
        <f> B6 / (population_dop_znach!B$2 + population_dop_znach!C$2) * 100000</f>
        <v>0</v>
      </c>
      <c r="F6" s="26">
        <f> C6/ (population_dop_znach!B$3 + population_dop_znach!C$3) * 100000</f>
        <v>0</v>
      </c>
      <c r="G6" s="26">
        <f> D6 / (population_dop_znach!B$4 + population_dop_znach!C$4) * 100000</f>
        <v>0</v>
      </c>
      <c r="H6" s="27" t="str">
        <f t="shared" si="2"/>
        <v>Нет</v>
      </c>
      <c r="I6" s="27" t="str">
        <f t="shared" si="3"/>
        <v>Нет</v>
      </c>
      <c r="J6" s="27" t="str">
        <f t="shared" si="4"/>
        <v>Нет</v>
      </c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>
      <c r="A7" s="24" t="s">
        <v>286</v>
      </c>
      <c r="B7" s="25">
        <v>0.0</v>
      </c>
      <c r="C7" s="25">
        <v>2.0</v>
      </c>
      <c r="D7" s="25">
        <v>4.0</v>
      </c>
      <c r="E7" s="26">
        <f> B7 / (population_dop_znach!B$2 + population_dop_znach!C$2) * 100000</f>
        <v>0</v>
      </c>
      <c r="F7" s="26">
        <f> C7/ (population_dop_znach!B$3 + population_dop_znach!C$3) * 100000</f>
        <v>0.02133727305</v>
      </c>
      <c r="G7" s="26">
        <f> D7 / (population_dop_znach!B$4 + population_dop_znach!C$4) * 100000</f>
        <v>0.0445820842</v>
      </c>
      <c r="H7" s="27" t="str">
        <f t="shared" si="2"/>
        <v>Нет</v>
      </c>
      <c r="I7" s="27" t="str">
        <f t="shared" si="3"/>
        <v>Нет</v>
      </c>
      <c r="J7" s="27" t="str">
        <f t="shared" si="4"/>
        <v>Нет</v>
      </c>
      <c r="K7" s="27"/>
      <c r="L7" s="27"/>
      <c r="M7" s="27"/>
      <c r="N7" s="27"/>
      <c r="O7" s="27"/>
      <c r="P7" s="27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24" t="s">
        <v>336</v>
      </c>
      <c r="B8" s="25">
        <v>0.0</v>
      </c>
      <c r="C8" s="25">
        <v>0.0</v>
      </c>
      <c r="D8" s="25">
        <v>0.0</v>
      </c>
      <c r="E8" s="26">
        <f> B8 / (population_dop_znach!B$2 + population_dop_znach!C$2) * 100000</f>
        <v>0</v>
      </c>
      <c r="F8" s="26">
        <f> C8/ (population_dop_znach!B$3 + population_dop_znach!C$3) * 100000</f>
        <v>0</v>
      </c>
      <c r="G8" s="26">
        <f> D8 / (population_dop_znach!B$4 + population_dop_znach!C$4) * 100000</f>
        <v>0</v>
      </c>
      <c r="H8" s="27" t="str">
        <f t="shared" si="2"/>
        <v>Нет</v>
      </c>
      <c r="I8" s="27" t="str">
        <f t="shared" si="3"/>
        <v>Нет</v>
      </c>
      <c r="J8" s="27" t="str">
        <f t="shared" si="4"/>
        <v>Нет</v>
      </c>
      <c r="K8" s="27"/>
      <c r="L8" s="27"/>
      <c r="M8" s="27"/>
      <c r="N8" s="27"/>
      <c r="O8" s="27"/>
      <c r="P8" s="27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>
      <c r="A9" s="19" t="s">
        <v>337</v>
      </c>
      <c r="B9" s="25">
        <v>0.0</v>
      </c>
      <c r="C9" s="25">
        <v>0.0</v>
      </c>
      <c r="D9" s="25">
        <v>0.0</v>
      </c>
      <c r="E9" s="26">
        <f> B9 / (population_dop_znach!B$2 + population_dop_znach!C$2) * 100000</f>
        <v>0</v>
      </c>
      <c r="F9" s="26">
        <f> C9/ (population_dop_znach!B$3 + population_dop_znach!C$3) * 100000</f>
        <v>0</v>
      </c>
      <c r="G9" s="26">
        <f> D9 / (population_dop_znach!B$4 + population_dop_znach!C$4) * 100000</f>
        <v>0</v>
      </c>
      <c r="H9" s="27" t="str">
        <f t="shared" si="2"/>
        <v>Нет</v>
      </c>
      <c r="I9" s="27" t="str">
        <f t="shared" si="3"/>
        <v>Нет</v>
      </c>
      <c r="J9" s="27" t="str">
        <f t="shared" si="4"/>
        <v>Нет</v>
      </c>
      <c r="K9" s="27"/>
      <c r="L9" s="27"/>
      <c r="M9" s="27"/>
      <c r="N9" s="27"/>
      <c r="O9" s="27"/>
      <c r="P9" s="27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>
      <c r="A10" s="19" t="s">
        <v>338</v>
      </c>
      <c r="B10" s="25">
        <v>0.0</v>
      </c>
      <c r="C10" s="25">
        <v>0.0</v>
      </c>
      <c r="D10" s="25">
        <v>2.0</v>
      </c>
      <c r="E10" s="26">
        <f> B10 / (population_dop_znach!B$2 + population_dop_znach!C$2) * 100000</f>
        <v>0</v>
      </c>
      <c r="F10" s="26">
        <f> C10/ (population_dop_znach!B$3 + population_dop_znach!C$3) * 100000</f>
        <v>0</v>
      </c>
      <c r="G10" s="26">
        <f> D10 / (population_dop_znach!B$4 + population_dop_znach!C$4) * 100000</f>
        <v>0.0222910421</v>
      </c>
      <c r="H10" s="27" t="str">
        <f t="shared" si="2"/>
        <v>Нет</v>
      </c>
      <c r="I10" s="27" t="str">
        <f t="shared" si="3"/>
        <v>Нет</v>
      </c>
      <c r="J10" s="27" t="str">
        <f t="shared" si="4"/>
        <v>Нет</v>
      </c>
      <c r="K10" s="27"/>
      <c r="L10" s="27"/>
      <c r="M10" s="27"/>
      <c r="N10" s="27"/>
      <c r="O10" s="27"/>
      <c r="P10" s="27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>
      <c r="A11" s="19" t="s">
        <v>339</v>
      </c>
      <c r="B11" s="25">
        <v>0.0</v>
      </c>
      <c r="C11" s="25">
        <v>0.0</v>
      </c>
      <c r="D11" s="25">
        <v>1.0</v>
      </c>
      <c r="E11" s="26">
        <f> B11 / (population_dop_znach!B$2 + population_dop_znach!C$2) * 100000</f>
        <v>0</v>
      </c>
      <c r="F11" s="26">
        <f> C11/ (population_dop_znach!B$3 + population_dop_znach!C$3) * 100000</f>
        <v>0</v>
      </c>
      <c r="G11" s="26">
        <f> D11 / (population_dop_znach!B$4 + population_dop_znach!C$4) * 100000</f>
        <v>0.01114552105</v>
      </c>
      <c r="H11" s="27" t="str">
        <f t="shared" si="2"/>
        <v>Нет</v>
      </c>
      <c r="I11" s="27" t="str">
        <f t="shared" si="3"/>
        <v>Нет</v>
      </c>
      <c r="J11" s="27" t="str">
        <f t="shared" si="4"/>
        <v>Нет</v>
      </c>
      <c r="K11" s="27"/>
      <c r="L11" s="27"/>
      <c r="M11" s="27"/>
      <c r="N11" s="27"/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>
      <c r="A12" s="19" t="s">
        <v>340</v>
      </c>
      <c r="B12" s="25">
        <v>1.0</v>
      </c>
      <c r="C12" s="25">
        <v>2.0</v>
      </c>
      <c r="D12" s="25">
        <v>14.0</v>
      </c>
      <c r="E12" s="26">
        <f> B12 / (population_dop_znach!B$2 + population_dop_znach!C$2) * 100000</f>
        <v>0.01389795151</v>
      </c>
      <c r="F12" s="26">
        <f> C12/ (population_dop_znach!B$3 + population_dop_znach!C$3) * 100000</f>
        <v>0.02133727305</v>
      </c>
      <c r="G12" s="26">
        <f> D12 / (population_dop_znach!B$4 + population_dop_znach!C$4) * 100000</f>
        <v>0.1560372947</v>
      </c>
      <c r="H12" s="27" t="str">
        <f t="shared" si="2"/>
        <v>Нет</v>
      </c>
      <c r="I12" s="27" t="str">
        <f t="shared" si="3"/>
        <v>Нет</v>
      </c>
      <c r="J12" s="27" t="str">
        <f t="shared" si="4"/>
        <v>Нет</v>
      </c>
      <c r="K12" s="27"/>
      <c r="L12" s="27"/>
      <c r="M12" s="27"/>
      <c r="N12" s="27"/>
      <c r="O12" s="27"/>
      <c r="P12" s="27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>
      <c r="A13" s="21" t="s">
        <v>341</v>
      </c>
      <c r="B13" s="25">
        <v>0.0</v>
      </c>
      <c r="C13" s="25">
        <v>0.0</v>
      </c>
      <c r="D13" s="25">
        <v>1.0</v>
      </c>
      <c r="E13" s="26">
        <f> B13 / (population_dop_znach!B$2 + population_dop_znach!C$2) * 100000</f>
        <v>0</v>
      </c>
      <c r="F13" s="26">
        <f> C13/ (population_dop_znach!B$3 + population_dop_znach!C$3) * 100000</f>
        <v>0</v>
      </c>
      <c r="G13" s="26">
        <f> D13 / (population_dop_znach!B$4 + population_dop_znach!C$4) * 100000</f>
        <v>0.01114552105</v>
      </c>
      <c r="H13" s="27" t="str">
        <f t="shared" si="2"/>
        <v>Нет</v>
      </c>
      <c r="I13" s="27" t="str">
        <f t="shared" si="3"/>
        <v>Нет</v>
      </c>
      <c r="J13" s="27" t="str">
        <f t="shared" si="4"/>
        <v>Нет</v>
      </c>
      <c r="K13" s="27"/>
      <c r="L13" s="27"/>
      <c r="M13" s="27"/>
      <c r="N13" s="27"/>
      <c r="O13" s="27"/>
      <c r="P13" s="27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>
      <c r="A14" s="19" t="s">
        <v>287</v>
      </c>
      <c r="B14" s="25">
        <v>29.0</v>
      </c>
      <c r="C14" s="25">
        <v>10.0</v>
      </c>
      <c r="D14" s="25">
        <v>5.0</v>
      </c>
      <c r="E14" s="26">
        <f> B14 / (population_dop_znach!B$2 + population_dop_znach!C$2) * 100000</f>
        <v>0.4030405938</v>
      </c>
      <c r="F14" s="26">
        <f> C14/ (population_dop_znach!B$3 + population_dop_znach!C$3) * 100000</f>
        <v>0.1066863652</v>
      </c>
      <c r="G14" s="26">
        <f> D14 / (population_dop_znach!B$4 + population_dop_znach!C$4) * 100000</f>
        <v>0.05572760525</v>
      </c>
      <c r="H14" s="27" t="str">
        <f t="shared" si="2"/>
        <v>Нет</v>
      </c>
      <c r="I14" s="27" t="str">
        <f t="shared" si="3"/>
        <v>Нет</v>
      </c>
      <c r="J14" s="27" t="str">
        <f t="shared" si="4"/>
        <v>Нет</v>
      </c>
      <c r="K14" s="27"/>
      <c r="L14" s="27"/>
      <c r="M14" s="27"/>
      <c r="N14" s="27"/>
      <c r="O14" s="27"/>
      <c r="P14" s="27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>
      <c r="A15" s="19" t="s">
        <v>342</v>
      </c>
      <c r="B15" s="25">
        <v>1.0</v>
      </c>
      <c r="C15" s="25">
        <v>1.0</v>
      </c>
      <c r="D15" s="25">
        <v>0.0</v>
      </c>
      <c r="E15" s="26">
        <f> B15 / (population_dop_znach!B$2 + population_dop_znach!C$2) * 100000</f>
        <v>0.01389795151</v>
      </c>
      <c r="F15" s="26">
        <f> C15/ (population_dop_znach!B$3 + population_dop_znach!C$3) * 100000</f>
        <v>0.01066863652</v>
      </c>
      <c r="G15" s="26">
        <f> D15 / (population_dop_znach!B$4 + population_dop_znach!C$4) * 100000</f>
        <v>0</v>
      </c>
      <c r="H15" s="27" t="str">
        <f t="shared" si="2"/>
        <v>Нет</v>
      </c>
      <c r="I15" s="27" t="str">
        <f t="shared" si="3"/>
        <v>Нет</v>
      </c>
      <c r="J15" s="27" t="str">
        <f t="shared" si="4"/>
        <v>Нет</v>
      </c>
      <c r="K15" s="27"/>
      <c r="L15" s="27"/>
      <c r="M15" s="27"/>
      <c r="N15" s="27"/>
      <c r="O15" s="27"/>
      <c r="P15" s="27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>
      <c r="A16" s="19" t="s">
        <v>343</v>
      </c>
      <c r="B16" s="25">
        <v>0.0</v>
      </c>
      <c r="C16" s="25">
        <v>1.0</v>
      </c>
      <c r="D16" s="25">
        <v>12.0</v>
      </c>
      <c r="E16" s="26">
        <f> B16 / (population_dop_znach!B$2 + population_dop_znach!C$2) * 100000</f>
        <v>0</v>
      </c>
      <c r="F16" s="26">
        <f> C16/ (population_dop_znach!B$3 + population_dop_znach!C$3) * 100000</f>
        <v>0.01066863652</v>
      </c>
      <c r="G16" s="26">
        <f> D16 / (population_dop_znach!B$4 + population_dop_znach!C$4) * 100000</f>
        <v>0.1337462526</v>
      </c>
      <c r="H16" s="27" t="str">
        <f t="shared" si="2"/>
        <v>Нет</v>
      </c>
      <c r="I16" s="27" t="str">
        <f t="shared" si="3"/>
        <v>Нет</v>
      </c>
      <c r="J16" s="27" t="str">
        <f t="shared" si="4"/>
        <v>Нет</v>
      </c>
      <c r="K16" s="27"/>
      <c r="L16" s="27"/>
      <c r="M16" s="27"/>
      <c r="N16" s="27"/>
      <c r="O16" s="27"/>
      <c r="P16" s="27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>
      <c r="A17" s="19" t="s">
        <v>344</v>
      </c>
      <c r="B17" s="25">
        <v>3.0</v>
      </c>
      <c r="C17" s="25">
        <v>2.0</v>
      </c>
      <c r="D17" s="25">
        <v>0.0</v>
      </c>
      <c r="E17" s="26">
        <f> B17 / (population_dop_znach!B$2 + population_dop_znach!C$2) * 100000</f>
        <v>0.04169385453</v>
      </c>
      <c r="F17" s="26">
        <f> C17/ (population_dop_znach!B$3 + population_dop_znach!C$3) * 100000</f>
        <v>0.02133727305</v>
      </c>
      <c r="G17" s="26">
        <f> D17 / (population_dop_znach!B$4 + population_dop_znach!C$4) * 100000</f>
        <v>0</v>
      </c>
      <c r="H17" s="27" t="str">
        <f t="shared" si="2"/>
        <v>Нет</v>
      </c>
      <c r="I17" s="27" t="str">
        <f t="shared" si="3"/>
        <v>Нет</v>
      </c>
      <c r="J17" s="27" t="str">
        <f t="shared" si="4"/>
        <v>Нет</v>
      </c>
      <c r="K17" s="27"/>
      <c r="L17" s="27"/>
      <c r="M17" s="27"/>
      <c r="N17" s="27"/>
      <c r="O17" s="27"/>
      <c r="P17" s="2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>
      <c r="A18" s="19" t="s">
        <v>345</v>
      </c>
      <c r="B18" s="25">
        <v>1.0</v>
      </c>
      <c r="C18" s="25">
        <v>0.0</v>
      </c>
      <c r="D18" s="25">
        <v>0.0</v>
      </c>
      <c r="E18" s="26">
        <f> B18 / (population_dop_znach!B$2 + population_dop_znach!C$2) * 100000</f>
        <v>0.01389795151</v>
      </c>
      <c r="F18" s="26">
        <f> C18/ (population_dop_znach!B$3 + population_dop_znach!C$3) * 100000</f>
        <v>0</v>
      </c>
      <c r="G18" s="26">
        <f> D18 / (population_dop_znach!B$4 + population_dop_znach!C$4) * 100000</f>
        <v>0</v>
      </c>
      <c r="H18" s="27" t="str">
        <f t="shared" si="2"/>
        <v>Нет</v>
      </c>
      <c r="I18" s="27" t="str">
        <f t="shared" si="3"/>
        <v>Нет</v>
      </c>
      <c r="J18" s="27" t="str">
        <f t="shared" si="4"/>
        <v>Нет</v>
      </c>
      <c r="K18" s="27"/>
      <c r="L18" s="27"/>
      <c r="M18" s="27"/>
      <c r="N18" s="27"/>
      <c r="O18" s="27"/>
      <c r="P18" s="27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>
      <c r="A19" s="19" t="s">
        <v>346</v>
      </c>
      <c r="B19" s="25">
        <v>3.0</v>
      </c>
      <c r="C19" s="25">
        <v>0.0</v>
      </c>
      <c r="D19" s="25">
        <v>2.0</v>
      </c>
      <c r="E19" s="26">
        <f> B19 / (population_dop_znach!B$2 + population_dop_znach!C$2) * 100000</f>
        <v>0.04169385453</v>
      </c>
      <c r="F19" s="26">
        <f> C19/ (population_dop_znach!B$3 + population_dop_znach!C$3) * 100000</f>
        <v>0</v>
      </c>
      <c r="G19" s="26">
        <f> D19 / (population_dop_znach!B$4 + population_dop_znach!C$4) * 100000</f>
        <v>0.0222910421</v>
      </c>
      <c r="H19" s="27" t="str">
        <f t="shared" si="2"/>
        <v>Нет</v>
      </c>
      <c r="I19" s="27" t="str">
        <f t="shared" si="3"/>
        <v>Нет</v>
      </c>
      <c r="J19" s="27" t="str">
        <f t="shared" si="4"/>
        <v>Нет</v>
      </c>
      <c r="K19" s="27"/>
      <c r="L19" s="27"/>
      <c r="M19" s="27"/>
      <c r="N19" s="27"/>
      <c r="O19" s="27"/>
      <c r="P19" s="27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>
      <c r="A20" s="24" t="s">
        <v>347</v>
      </c>
      <c r="B20" s="25">
        <v>0.0</v>
      </c>
      <c r="C20" s="25">
        <v>0.0</v>
      </c>
      <c r="D20" s="25">
        <v>0.0</v>
      </c>
      <c r="E20" s="26">
        <f> B20 / (population_dop_znach!B$2 + population_dop_znach!C$2) * 100000</f>
        <v>0</v>
      </c>
      <c r="F20" s="26">
        <f> C20/ (population_dop_znach!B$3 + population_dop_znach!C$3) * 100000</f>
        <v>0</v>
      </c>
      <c r="G20" s="26">
        <f> D20 / (population_dop_znach!B$4 + population_dop_znach!C$4) * 100000</f>
        <v>0</v>
      </c>
      <c r="H20" s="27" t="str">
        <f t="shared" si="2"/>
        <v>Нет</v>
      </c>
      <c r="I20" s="27" t="str">
        <f t="shared" si="3"/>
        <v>Нет</v>
      </c>
      <c r="J20" s="27" t="str">
        <f t="shared" si="4"/>
        <v>Нет</v>
      </c>
      <c r="K20" s="27"/>
      <c r="L20" s="27"/>
      <c r="M20" s="27"/>
      <c r="N20" s="27"/>
      <c r="O20" s="27"/>
      <c r="P20" s="27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>
      <c r="A21" s="19" t="s">
        <v>348</v>
      </c>
      <c r="B21" s="25">
        <v>21.0</v>
      </c>
      <c r="C21" s="25">
        <v>2.0</v>
      </c>
      <c r="D21" s="25">
        <v>3.0</v>
      </c>
      <c r="E21" s="26">
        <f> B21 / (population_dop_znach!B$2 + population_dop_znach!C$2) * 100000</f>
        <v>0.2918569817</v>
      </c>
      <c r="F21" s="26">
        <f> C21/ (population_dop_znach!B$3 + population_dop_znach!C$3) * 100000</f>
        <v>0.02133727305</v>
      </c>
      <c r="G21" s="26">
        <f> D21 / (population_dop_znach!B$4 + population_dop_znach!C$4) * 100000</f>
        <v>0.03343656315</v>
      </c>
      <c r="H21" s="27" t="str">
        <f t="shared" si="2"/>
        <v>Нет</v>
      </c>
      <c r="I21" s="27" t="str">
        <f t="shared" si="3"/>
        <v>Нет</v>
      </c>
      <c r="J21" s="27" t="str">
        <f t="shared" si="4"/>
        <v>Нет</v>
      </c>
      <c r="K21" s="27"/>
      <c r="L21" s="27"/>
      <c r="M21" s="27"/>
      <c r="N21" s="27"/>
      <c r="O21" s="27"/>
      <c r="P21" s="27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>
      <c r="A22" s="19" t="s">
        <v>289</v>
      </c>
      <c r="B22" s="25">
        <v>20.0</v>
      </c>
      <c r="C22" s="25">
        <v>41.0</v>
      </c>
      <c r="D22" s="25">
        <v>91.0</v>
      </c>
      <c r="E22" s="26">
        <f> B22 / (population_dop_znach!B$2 + population_dop_znach!C$2) * 100000</f>
        <v>0.2779590302</v>
      </c>
      <c r="F22" s="26">
        <f> C22/ (population_dop_znach!B$3 + population_dop_znach!C$3) * 100000</f>
        <v>0.4374140975</v>
      </c>
      <c r="G22" s="26">
        <f> D22 / (population_dop_znach!B$4 + population_dop_znach!C$4) * 100000</f>
        <v>1.014242416</v>
      </c>
      <c r="H22" s="27" t="str">
        <f t="shared" si="2"/>
        <v>Нет</v>
      </c>
      <c r="I22" s="27" t="str">
        <f t="shared" si="3"/>
        <v>Нет</v>
      </c>
      <c r="J22" s="27" t="str">
        <f t="shared" si="4"/>
        <v>Нет</v>
      </c>
      <c r="K22" s="27"/>
      <c r="L22" s="27"/>
      <c r="M22" s="27"/>
      <c r="N22" s="27"/>
      <c r="O22" s="27"/>
      <c r="P22" s="27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>
      <c r="A23" s="19" t="s">
        <v>290</v>
      </c>
      <c r="B23" s="25">
        <v>0.0</v>
      </c>
      <c r="C23" s="25">
        <v>0.0</v>
      </c>
      <c r="D23" s="25">
        <v>4.0</v>
      </c>
      <c r="E23" s="26">
        <f> B23 / (population_dop_znach!B$2 + population_dop_znach!C$2) * 100000</f>
        <v>0</v>
      </c>
      <c r="F23" s="26">
        <f> C23/ (population_dop_znach!B$3 + population_dop_znach!C$3) * 100000</f>
        <v>0</v>
      </c>
      <c r="G23" s="26">
        <f> D23 / (population_dop_znach!B$4 + population_dop_znach!C$4) * 100000</f>
        <v>0.0445820842</v>
      </c>
      <c r="H23" s="27" t="str">
        <f t="shared" si="2"/>
        <v>Нет</v>
      </c>
      <c r="I23" s="27" t="str">
        <f t="shared" si="3"/>
        <v>Нет</v>
      </c>
      <c r="J23" s="27" t="str">
        <f t="shared" si="4"/>
        <v>Нет</v>
      </c>
      <c r="K23" s="27"/>
      <c r="L23" s="27"/>
      <c r="M23" s="27"/>
      <c r="N23" s="27"/>
      <c r="O23" s="27"/>
      <c r="P23" s="27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>
      <c r="A24" s="19" t="s">
        <v>349</v>
      </c>
      <c r="B24" s="25">
        <v>0.0</v>
      </c>
      <c r="C24" s="25">
        <v>6.0</v>
      </c>
      <c r="D24" s="25">
        <v>0.0</v>
      </c>
      <c r="E24" s="26">
        <f> B24 / (population_dop_znach!B$2 + population_dop_znach!C$2) * 100000</f>
        <v>0</v>
      </c>
      <c r="F24" s="26">
        <f> C24/ (population_dop_znach!B$3 + population_dop_znach!C$3) * 100000</f>
        <v>0.06401181914</v>
      </c>
      <c r="G24" s="26">
        <f> D24 / (population_dop_znach!B$4 + population_dop_znach!C$4) * 100000</f>
        <v>0</v>
      </c>
      <c r="H24" s="27" t="str">
        <f t="shared" si="2"/>
        <v>Нет</v>
      </c>
      <c r="I24" s="27" t="str">
        <f t="shared" si="3"/>
        <v>Нет</v>
      </c>
      <c r="J24" s="27" t="str">
        <f t="shared" si="4"/>
        <v>Нет</v>
      </c>
      <c r="K24" s="27"/>
      <c r="L24" s="27"/>
      <c r="M24" s="27"/>
      <c r="N24" s="27"/>
      <c r="O24" s="27"/>
      <c r="P24" s="27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>
      <c r="A25" s="19" t="s">
        <v>350</v>
      </c>
      <c r="B25" s="25">
        <v>0.0</v>
      </c>
      <c r="C25" s="25">
        <v>0.0</v>
      </c>
      <c r="D25" s="25">
        <v>1.0</v>
      </c>
      <c r="E25" s="26">
        <f> B25 / (population_dop_znach!B$2 + population_dop_znach!C$2) * 100000</f>
        <v>0</v>
      </c>
      <c r="F25" s="26">
        <f> C25/ (population_dop_znach!B$3 + population_dop_znach!C$3) * 100000</f>
        <v>0</v>
      </c>
      <c r="G25" s="26">
        <f> D25 / (population_dop_znach!B$4 + population_dop_znach!C$4) * 100000</f>
        <v>0.01114552105</v>
      </c>
      <c r="H25" s="27" t="str">
        <f t="shared" si="2"/>
        <v>Нет</v>
      </c>
      <c r="I25" s="27" t="str">
        <f t="shared" si="3"/>
        <v>Нет</v>
      </c>
      <c r="J25" s="27" t="str">
        <f t="shared" si="4"/>
        <v>Нет</v>
      </c>
      <c r="K25" s="27"/>
      <c r="L25" s="27"/>
      <c r="M25" s="27"/>
      <c r="N25" s="27"/>
      <c r="O25" s="27"/>
      <c r="P25" s="27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>
      <c r="A26" s="19" t="s">
        <v>351</v>
      </c>
      <c r="B26" s="25">
        <v>0.0</v>
      </c>
      <c r="C26" s="25">
        <v>0.0</v>
      </c>
      <c r="D26" s="25">
        <v>0.0</v>
      </c>
      <c r="E26" s="26">
        <f> B26 / (population_dop_znach!B$2 + population_dop_znach!C$2) * 100000</f>
        <v>0</v>
      </c>
      <c r="F26" s="26">
        <f> C26/ (population_dop_znach!B$3 + population_dop_znach!C$3) * 100000</f>
        <v>0</v>
      </c>
      <c r="G26" s="26">
        <f> D26 / (population_dop_znach!B$4 + population_dop_znach!C$4) * 100000</f>
        <v>0</v>
      </c>
      <c r="H26" s="27" t="str">
        <f t="shared" si="2"/>
        <v>Нет</v>
      </c>
      <c r="I26" s="27" t="str">
        <f t="shared" si="3"/>
        <v>Нет</v>
      </c>
      <c r="J26" s="27" t="str">
        <f t="shared" si="4"/>
        <v>Нет</v>
      </c>
      <c r="K26" s="27"/>
      <c r="L26" s="27"/>
      <c r="M26" s="27"/>
      <c r="N26" s="27"/>
      <c r="O26" s="27"/>
      <c r="P26" s="27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>
      <c r="A27" s="19" t="s">
        <v>352</v>
      </c>
      <c r="B27" s="25">
        <v>18.0</v>
      </c>
      <c r="C27" s="25">
        <v>6.0</v>
      </c>
      <c r="D27" s="25">
        <v>0.0</v>
      </c>
      <c r="E27" s="26">
        <f> B27 / (population_dop_znach!B$2 + population_dop_znach!C$2) * 100000</f>
        <v>0.2501631272</v>
      </c>
      <c r="F27" s="26">
        <f> C27/ (population_dop_znach!B$3 + population_dop_znach!C$3) * 100000</f>
        <v>0.06401181914</v>
      </c>
      <c r="G27" s="26">
        <f> D27 / (population_dop_znach!B$4 + population_dop_znach!C$4) * 100000</f>
        <v>0</v>
      </c>
      <c r="H27" s="27" t="str">
        <f t="shared" si="2"/>
        <v>Нет</v>
      </c>
      <c r="I27" s="27" t="str">
        <f t="shared" si="3"/>
        <v>Нет</v>
      </c>
      <c r="J27" s="27" t="str">
        <f t="shared" si="4"/>
        <v>Нет</v>
      </c>
      <c r="K27" s="27"/>
      <c r="L27" s="27"/>
      <c r="M27" s="27"/>
      <c r="N27" s="27"/>
      <c r="O27" s="27"/>
      <c r="P27" s="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>
      <c r="A28" s="19" t="s">
        <v>353</v>
      </c>
      <c r="B28" s="25">
        <v>92.0</v>
      </c>
      <c r="C28" s="25">
        <v>18.0</v>
      </c>
      <c r="D28" s="25">
        <v>6.0</v>
      </c>
      <c r="E28" s="26">
        <f> B28 / (population_dop_znach!B$2 + population_dop_znach!C$2) * 100000</f>
        <v>1.278611539</v>
      </c>
      <c r="F28" s="26">
        <f> C28/ (population_dop_znach!B$3 + population_dop_znach!C$3) * 100000</f>
        <v>0.1920354574</v>
      </c>
      <c r="G28" s="26">
        <f> D28 / (population_dop_znach!B$4 + population_dop_znach!C$4) * 100000</f>
        <v>0.0668731263</v>
      </c>
      <c r="H28" s="27" t="str">
        <f t="shared" si="2"/>
        <v>Нет</v>
      </c>
      <c r="I28" s="27" t="str">
        <f t="shared" si="3"/>
        <v>Нет</v>
      </c>
      <c r="J28" s="27" t="str">
        <f t="shared" si="4"/>
        <v>Нет</v>
      </c>
      <c r="K28" s="27"/>
      <c r="L28" s="27"/>
      <c r="M28" s="27"/>
      <c r="N28" s="27"/>
      <c r="O28" s="27"/>
      <c r="P28" s="27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>
      <c r="A29" s="19" t="s">
        <v>291</v>
      </c>
      <c r="B29" s="25">
        <v>64.0</v>
      </c>
      <c r="C29" s="25">
        <v>48.0</v>
      </c>
      <c r="D29" s="25">
        <v>54.0</v>
      </c>
      <c r="E29" s="26">
        <f> B29 / (population_dop_znach!B$2 + population_dop_znach!C$2) * 100000</f>
        <v>0.8894688967</v>
      </c>
      <c r="F29" s="26">
        <f> C29/ (population_dop_znach!B$3 + population_dop_znach!C$3) * 100000</f>
        <v>0.5120945531</v>
      </c>
      <c r="G29" s="26">
        <f> D29 / (population_dop_znach!B$4 + population_dop_znach!C$4) * 100000</f>
        <v>0.6018581367</v>
      </c>
      <c r="H29" s="27" t="str">
        <f t="shared" si="2"/>
        <v>Нет</v>
      </c>
      <c r="I29" s="27" t="str">
        <f t="shared" si="3"/>
        <v>Нет</v>
      </c>
      <c r="J29" s="27" t="str">
        <f t="shared" si="4"/>
        <v>Нет</v>
      </c>
      <c r="K29" s="27"/>
      <c r="L29" s="27"/>
      <c r="M29" s="27"/>
      <c r="N29" s="27"/>
      <c r="O29" s="27"/>
      <c r="P29" s="27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>
      <c r="A30" s="19" t="s">
        <v>354</v>
      </c>
      <c r="B30" s="25">
        <v>0.0</v>
      </c>
      <c r="C30" s="25">
        <v>0.0</v>
      </c>
      <c r="D30" s="25">
        <v>0.0</v>
      </c>
      <c r="E30" s="26">
        <f> B30 / (population_dop_znach!B$2 + population_dop_znach!C$2) * 100000</f>
        <v>0</v>
      </c>
      <c r="F30" s="26">
        <f> C30/ (population_dop_znach!B$3 + population_dop_znach!C$3) * 100000</f>
        <v>0</v>
      </c>
      <c r="G30" s="26">
        <f> D30 / (population_dop_znach!B$4 + population_dop_znach!C$4) * 100000</f>
        <v>0</v>
      </c>
      <c r="H30" s="27" t="str">
        <f t="shared" si="2"/>
        <v>Нет</v>
      </c>
      <c r="I30" s="27" t="str">
        <f t="shared" si="3"/>
        <v>Нет</v>
      </c>
      <c r="J30" s="27" t="str">
        <f t="shared" si="4"/>
        <v>Нет</v>
      </c>
      <c r="K30" s="27"/>
      <c r="L30" s="27"/>
      <c r="M30" s="27"/>
      <c r="N30" s="27"/>
      <c r="O30" s="27"/>
      <c r="P30" s="27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>
      <c r="A31" s="19" t="s">
        <v>294</v>
      </c>
      <c r="B31" s="25">
        <v>139.0</v>
      </c>
      <c r="C31" s="25">
        <v>32.0</v>
      </c>
      <c r="D31" s="25">
        <v>13.0</v>
      </c>
      <c r="E31" s="26">
        <f> B31 / (population_dop_znach!B$2 + population_dop_znach!C$2) * 100000</f>
        <v>1.93181526</v>
      </c>
      <c r="F31" s="26">
        <f> C31/ (population_dop_znach!B$3 + population_dop_znach!C$3) * 100000</f>
        <v>0.3413963688</v>
      </c>
      <c r="G31" s="26">
        <f> D31 / (population_dop_znach!B$4 + population_dop_znach!C$4) * 100000</f>
        <v>0.1448917736</v>
      </c>
      <c r="H31" s="27" t="str">
        <f t="shared" si="2"/>
        <v>Выброс</v>
      </c>
      <c r="I31" s="27" t="str">
        <f t="shared" si="3"/>
        <v>Нет</v>
      </c>
      <c r="J31" s="27" t="str">
        <f t="shared" si="4"/>
        <v>Нет</v>
      </c>
      <c r="K31" s="27"/>
      <c r="L31" s="27"/>
      <c r="M31" s="27"/>
      <c r="N31" s="27"/>
      <c r="O31" s="27"/>
      <c r="P31" s="27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>
      <c r="A32" s="19" t="s">
        <v>295</v>
      </c>
      <c r="B32" s="25">
        <v>6.0</v>
      </c>
      <c r="C32" s="25">
        <v>0.0</v>
      </c>
      <c r="D32" s="25">
        <v>0.0</v>
      </c>
      <c r="E32" s="26">
        <f> B32 / (population_dop_znach!B$2 + population_dop_znach!C$2) * 100000</f>
        <v>0.08338770907</v>
      </c>
      <c r="F32" s="26">
        <f> C32/ (population_dop_znach!B$3 + population_dop_znach!C$3) * 100000</f>
        <v>0</v>
      </c>
      <c r="G32" s="26">
        <f> D32 / (population_dop_znach!B$4 + population_dop_znach!C$4) * 100000</f>
        <v>0</v>
      </c>
      <c r="H32" s="27" t="str">
        <f t="shared" si="2"/>
        <v>Нет</v>
      </c>
      <c r="I32" s="27" t="str">
        <f t="shared" si="3"/>
        <v>Нет</v>
      </c>
      <c r="J32" s="27" t="str">
        <f t="shared" si="4"/>
        <v>Нет</v>
      </c>
      <c r="K32" s="27"/>
      <c r="L32" s="27"/>
      <c r="M32" s="27"/>
      <c r="N32" s="27"/>
      <c r="O32" s="27"/>
      <c r="P32" s="27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>
      <c r="A33" s="19" t="s">
        <v>296</v>
      </c>
      <c r="B33" s="25">
        <v>58.0</v>
      </c>
      <c r="C33" s="25">
        <v>9.0</v>
      </c>
      <c r="D33" s="25">
        <v>5.0</v>
      </c>
      <c r="E33" s="26">
        <f> B33 / (population_dop_znach!B$2 + population_dop_znach!C$2) * 100000</f>
        <v>0.8060811877</v>
      </c>
      <c r="F33" s="26">
        <f> C33/ (population_dop_znach!B$3 + population_dop_znach!C$3) * 100000</f>
        <v>0.09601772871</v>
      </c>
      <c r="G33" s="26">
        <f> D33 / (population_dop_znach!B$4 + population_dop_znach!C$4) * 100000</f>
        <v>0.05572760525</v>
      </c>
      <c r="H33" s="27" t="str">
        <f t="shared" si="2"/>
        <v>Нет</v>
      </c>
      <c r="I33" s="27" t="str">
        <f t="shared" si="3"/>
        <v>Нет</v>
      </c>
      <c r="J33" s="27" t="str">
        <f t="shared" si="4"/>
        <v>Нет</v>
      </c>
      <c r="K33" s="27"/>
      <c r="L33" s="27"/>
      <c r="M33" s="27"/>
      <c r="N33" s="27"/>
      <c r="O33" s="27"/>
      <c r="P33" s="27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>
      <c r="A34" s="19" t="s">
        <v>355</v>
      </c>
      <c r="B34" s="25">
        <v>4.0</v>
      </c>
      <c r="C34" s="25">
        <v>4.0</v>
      </c>
      <c r="D34" s="25">
        <v>3.0</v>
      </c>
      <c r="E34" s="26">
        <f> B34 / (population_dop_znach!B$2 + population_dop_znach!C$2) * 100000</f>
        <v>0.05559180605</v>
      </c>
      <c r="F34" s="26">
        <f> C34/ (population_dop_znach!B$3 + population_dop_znach!C$3) * 100000</f>
        <v>0.04267454609</v>
      </c>
      <c r="G34" s="26">
        <f> D34 / (population_dop_znach!B$4 + population_dop_znach!C$4) * 100000</f>
        <v>0.03343656315</v>
      </c>
      <c r="H34" s="27" t="str">
        <f t="shared" si="2"/>
        <v>Нет</v>
      </c>
      <c r="I34" s="27" t="str">
        <f t="shared" si="3"/>
        <v>Нет</v>
      </c>
      <c r="J34" s="27" t="str">
        <f t="shared" si="4"/>
        <v>Нет</v>
      </c>
      <c r="K34" s="27"/>
      <c r="L34" s="27"/>
      <c r="M34" s="27"/>
      <c r="N34" s="27"/>
      <c r="O34" s="27"/>
      <c r="P34" s="27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>
      <c r="A35" s="19" t="s">
        <v>356</v>
      </c>
      <c r="B35" s="25">
        <v>134.0</v>
      </c>
      <c r="C35" s="25">
        <v>155.0</v>
      </c>
      <c r="D35" s="25">
        <v>112.0</v>
      </c>
      <c r="E35" s="26">
        <f> B35 / (population_dop_znach!B$2 + population_dop_znach!C$2) * 100000</f>
        <v>1.862325503</v>
      </c>
      <c r="F35" s="26">
        <f> C35/ (population_dop_znach!B$3 + population_dop_znach!C$3) * 100000</f>
        <v>1.653638661</v>
      </c>
      <c r="G35" s="26">
        <f> D35 / (population_dop_znach!B$4 + population_dop_znach!C$4) * 100000</f>
        <v>1.248298358</v>
      </c>
      <c r="H35" s="27" t="str">
        <f t="shared" si="2"/>
        <v>Выброс</v>
      </c>
      <c r="I35" s="27" t="str">
        <f t="shared" si="3"/>
        <v>Выброс</v>
      </c>
      <c r="J35" s="27" t="str">
        <f t="shared" si="4"/>
        <v>Выброс</v>
      </c>
      <c r="K35" s="27"/>
      <c r="L35" s="27"/>
      <c r="M35" s="27"/>
      <c r="N35" s="27"/>
      <c r="O35" s="27"/>
      <c r="P35" s="27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>
      <c r="A36" s="19" t="s">
        <v>357</v>
      </c>
      <c r="B36" s="25">
        <v>11.0</v>
      </c>
      <c r="C36" s="25">
        <v>14.0</v>
      </c>
      <c r="D36" s="25">
        <v>6.0</v>
      </c>
      <c r="E36" s="26">
        <f> B36 / (population_dop_znach!B$2 + population_dop_znach!C$2) * 100000</f>
        <v>0.1528774666</v>
      </c>
      <c r="F36" s="26">
        <f> C36/ (population_dop_znach!B$3 + population_dop_znach!C$3) * 100000</f>
        <v>0.1493609113</v>
      </c>
      <c r="G36" s="26">
        <f> D36 / (population_dop_znach!B$4 + population_dop_znach!C$4) * 100000</f>
        <v>0.0668731263</v>
      </c>
      <c r="H36" s="27" t="str">
        <f t="shared" si="2"/>
        <v>Нет</v>
      </c>
      <c r="I36" s="27" t="str">
        <f t="shared" si="3"/>
        <v>Нет</v>
      </c>
      <c r="J36" s="27" t="str">
        <f t="shared" si="4"/>
        <v>Нет</v>
      </c>
      <c r="K36" s="27"/>
      <c r="L36" s="27"/>
      <c r="M36" s="27"/>
      <c r="N36" s="27"/>
      <c r="O36" s="27"/>
      <c r="P36" s="27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>
      <c r="A37" s="19" t="s">
        <v>298</v>
      </c>
      <c r="B37" s="25">
        <v>1.0</v>
      </c>
      <c r="C37" s="25">
        <v>8.0</v>
      </c>
      <c r="D37" s="25">
        <v>50.0</v>
      </c>
      <c r="E37" s="26">
        <f> B37 / (population_dop_znach!B$2 + population_dop_znach!C$2) * 100000</f>
        <v>0.01389795151</v>
      </c>
      <c r="F37" s="26">
        <f> C37/ (population_dop_znach!B$3 + population_dop_znach!C$3) * 100000</f>
        <v>0.08534909219</v>
      </c>
      <c r="G37" s="26">
        <f> D37 / (population_dop_znach!B$4 + population_dop_znach!C$4) * 100000</f>
        <v>0.5572760525</v>
      </c>
      <c r="H37" s="27" t="str">
        <f t="shared" si="2"/>
        <v>Нет</v>
      </c>
      <c r="I37" s="27" t="str">
        <f t="shared" si="3"/>
        <v>Нет</v>
      </c>
      <c r="J37" s="27" t="str">
        <f t="shared" si="4"/>
        <v>Нет</v>
      </c>
      <c r="K37" s="27"/>
      <c r="L37" s="27"/>
      <c r="M37" s="27"/>
      <c r="N37" s="27"/>
      <c r="O37" s="27"/>
      <c r="P37" s="27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>
      <c r="A38" s="19" t="s">
        <v>358</v>
      </c>
      <c r="B38" s="25">
        <v>65.0</v>
      </c>
      <c r="C38" s="25">
        <v>13.0</v>
      </c>
      <c r="D38" s="25">
        <v>2.0</v>
      </c>
      <c r="E38" s="26">
        <f> B38 / (population_dop_znach!B$2 + population_dop_znach!C$2) * 100000</f>
        <v>0.9033668482</v>
      </c>
      <c r="F38" s="26">
        <f> C38/ (population_dop_znach!B$3 + population_dop_znach!C$3) * 100000</f>
        <v>0.1386922748</v>
      </c>
      <c r="G38" s="26">
        <f> D38 / (population_dop_znach!B$4 + population_dop_znach!C$4) * 100000</f>
        <v>0.0222910421</v>
      </c>
      <c r="H38" s="27" t="str">
        <f t="shared" si="2"/>
        <v>Нет</v>
      </c>
      <c r="I38" s="27" t="str">
        <f t="shared" si="3"/>
        <v>Нет</v>
      </c>
      <c r="J38" s="27" t="str">
        <f t="shared" si="4"/>
        <v>Нет</v>
      </c>
      <c r="K38" s="27"/>
      <c r="L38" s="27"/>
      <c r="M38" s="27"/>
      <c r="N38" s="27"/>
      <c r="O38" s="27"/>
      <c r="P38" s="27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>
      <c r="A39" s="24" t="s">
        <v>299</v>
      </c>
      <c r="B39" s="25">
        <v>7.0</v>
      </c>
      <c r="C39" s="25">
        <v>30.0</v>
      </c>
      <c r="D39" s="25">
        <v>95.0</v>
      </c>
      <c r="E39" s="26">
        <f> B39 / (population_dop_znach!B$2 + population_dop_znach!C$2) * 100000</f>
        <v>0.09728566058</v>
      </c>
      <c r="F39" s="26">
        <f> C39/ (population_dop_znach!B$3 + population_dop_znach!C$3) * 100000</f>
        <v>0.3200590957</v>
      </c>
      <c r="G39" s="26">
        <f> D39 / (population_dop_znach!B$4 + population_dop_znach!C$4) * 100000</f>
        <v>1.0588245</v>
      </c>
      <c r="H39" s="27" t="str">
        <f t="shared" si="2"/>
        <v>Нет</v>
      </c>
      <c r="I39" s="27" t="str">
        <f t="shared" si="3"/>
        <v>Нет</v>
      </c>
      <c r="J39" s="27" t="str">
        <f t="shared" si="4"/>
        <v>Нет</v>
      </c>
      <c r="K39" s="27"/>
      <c r="L39" s="27"/>
      <c r="M39" s="27"/>
      <c r="N39" s="27"/>
      <c r="O39" s="27"/>
      <c r="P39" s="27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>
      <c r="A40" s="19" t="s">
        <v>359</v>
      </c>
      <c r="B40" s="25">
        <v>50.0</v>
      </c>
      <c r="C40" s="25">
        <v>89.0</v>
      </c>
      <c r="D40" s="25">
        <v>79.0</v>
      </c>
      <c r="E40" s="26">
        <f> B40 / (population_dop_znach!B$2 + population_dop_znach!C$2) * 100000</f>
        <v>0.6948975756</v>
      </c>
      <c r="F40" s="26">
        <f> C40/ (population_dop_znach!B$3 + population_dop_znach!C$3) * 100000</f>
        <v>0.9495086506</v>
      </c>
      <c r="G40" s="26">
        <f> D40 / (population_dop_znach!B$4 + population_dop_znach!C$4) * 100000</f>
        <v>0.8804961629</v>
      </c>
      <c r="H40" s="27" t="str">
        <f t="shared" si="2"/>
        <v>Нет</v>
      </c>
      <c r="I40" s="27" t="str">
        <f t="shared" si="3"/>
        <v>Выброс</v>
      </c>
      <c r="J40" s="27" t="str">
        <f t="shared" si="4"/>
        <v>Нет</v>
      </c>
      <c r="K40" s="27"/>
      <c r="L40" s="27"/>
      <c r="M40" s="27"/>
      <c r="N40" s="27"/>
      <c r="O40" s="27"/>
      <c r="P40" s="27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>
      <c r="A41" s="19" t="s">
        <v>301</v>
      </c>
      <c r="B41" s="25">
        <v>1.0</v>
      </c>
      <c r="C41" s="25">
        <v>0.0</v>
      </c>
      <c r="D41" s="25">
        <v>1.0</v>
      </c>
      <c r="E41" s="26">
        <f> B41 / (population_dop_znach!B$2 + population_dop_znach!C$2) * 100000</f>
        <v>0.01389795151</v>
      </c>
      <c r="F41" s="26">
        <f> C41/ (population_dop_znach!B$3 + population_dop_znach!C$3) * 100000</f>
        <v>0</v>
      </c>
      <c r="G41" s="26">
        <f> D41 / (population_dop_znach!B$4 + population_dop_znach!C$4) * 100000</f>
        <v>0.01114552105</v>
      </c>
      <c r="H41" s="27" t="str">
        <f t="shared" si="2"/>
        <v>Нет</v>
      </c>
      <c r="I41" s="27" t="str">
        <f t="shared" si="3"/>
        <v>Нет</v>
      </c>
      <c r="J41" s="27" t="str">
        <f t="shared" si="4"/>
        <v>Нет</v>
      </c>
      <c r="K41" s="27"/>
      <c r="L41" s="27"/>
      <c r="M41" s="27"/>
      <c r="N41" s="27"/>
      <c r="O41" s="27"/>
      <c r="P41" s="27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>
      <c r="A42" s="19" t="s">
        <v>302</v>
      </c>
      <c r="B42" s="25">
        <v>382.0</v>
      </c>
      <c r="C42" s="25">
        <v>291.0</v>
      </c>
      <c r="D42" s="25">
        <v>162.0</v>
      </c>
      <c r="E42" s="26">
        <f> B42 / (population_dop_znach!B$2 + population_dop_znach!C$2) * 100000</f>
        <v>5.309017477</v>
      </c>
      <c r="F42" s="26">
        <f> C42/ (population_dop_znach!B$3 + population_dop_znach!C$3) * 100000</f>
        <v>3.104573228</v>
      </c>
      <c r="G42" s="26">
        <f> D42 / (population_dop_znach!B$4 + population_dop_znach!C$4) * 100000</f>
        <v>1.80557441</v>
      </c>
      <c r="H42" s="27" t="str">
        <f t="shared" si="2"/>
        <v>Выброс</v>
      </c>
      <c r="I42" s="27" t="str">
        <f t="shared" si="3"/>
        <v>Выброс</v>
      </c>
      <c r="J42" s="27" t="str">
        <f t="shared" si="4"/>
        <v>Выброс</v>
      </c>
      <c r="K42" s="27"/>
      <c r="L42" s="27"/>
      <c r="M42" s="27"/>
      <c r="N42" s="27"/>
      <c r="O42" s="27"/>
      <c r="P42" s="27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>
      <c r="A43" s="19" t="s">
        <v>303</v>
      </c>
      <c r="B43" s="25">
        <v>8.0</v>
      </c>
      <c r="C43" s="25">
        <v>10.0</v>
      </c>
      <c r="D43" s="25">
        <v>3.0</v>
      </c>
      <c r="E43" s="26">
        <f> B43 / (population_dop_znach!B$2 + population_dop_znach!C$2) * 100000</f>
        <v>0.1111836121</v>
      </c>
      <c r="F43" s="26">
        <f> C43/ (population_dop_znach!B$3 + population_dop_znach!C$3) * 100000</f>
        <v>0.1066863652</v>
      </c>
      <c r="G43" s="26">
        <f> D43 / (population_dop_znach!B$4 + population_dop_znach!C$4) * 100000</f>
        <v>0.03343656315</v>
      </c>
      <c r="H43" s="27" t="str">
        <f t="shared" si="2"/>
        <v>Нет</v>
      </c>
      <c r="I43" s="27" t="str">
        <f t="shared" si="3"/>
        <v>Нет</v>
      </c>
      <c r="J43" s="27" t="str">
        <f t="shared" si="4"/>
        <v>Нет</v>
      </c>
      <c r="K43" s="27"/>
      <c r="L43" s="27"/>
      <c r="M43" s="27"/>
      <c r="N43" s="27"/>
      <c r="O43" s="27"/>
      <c r="P43" s="27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>
      <c r="A44" s="19" t="s">
        <v>304</v>
      </c>
      <c r="B44" s="25">
        <v>65.0</v>
      </c>
      <c r="C44" s="25">
        <v>26.0</v>
      </c>
      <c r="D44" s="25">
        <v>40.0</v>
      </c>
      <c r="E44" s="26">
        <f> B44 / (population_dop_znach!B$2 + population_dop_znach!C$2) * 100000</f>
        <v>0.9033668482</v>
      </c>
      <c r="F44" s="26">
        <f> C44/ (population_dop_znach!B$3 + population_dop_znach!C$3) * 100000</f>
        <v>0.2773845496</v>
      </c>
      <c r="G44" s="26">
        <f> D44 / (population_dop_znach!B$4 + population_dop_znach!C$4) * 100000</f>
        <v>0.445820842</v>
      </c>
      <c r="H44" s="27" t="str">
        <f t="shared" si="2"/>
        <v>Нет</v>
      </c>
      <c r="I44" s="27" t="str">
        <f t="shared" si="3"/>
        <v>Нет</v>
      </c>
      <c r="J44" s="27" t="str">
        <f t="shared" si="4"/>
        <v>Нет</v>
      </c>
      <c r="K44" s="27"/>
      <c r="L44" s="27"/>
      <c r="M44" s="27"/>
      <c r="N44" s="27"/>
      <c r="O44" s="27"/>
      <c r="P44" s="27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>
      <c r="A45" s="19" t="s">
        <v>305</v>
      </c>
      <c r="B45" s="25">
        <v>2.0</v>
      </c>
      <c r="C45" s="25">
        <v>2.0</v>
      </c>
      <c r="D45" s="25">
        <v>15.0</v>
      </c>
      <c r="E45" s="26">
        <f> B45 / (population_dop_znach!B$2 + population_dop_znach!C$2) * 100000</f>
        <v>0.02779590302</v>
      </c>
      <c r="F45" s="26">
        <f> C45/ (population_dop_znach!B$3 + population_dop_znach!C$3) * 100000</f>
        <v>0.02133727305</v>
      </c>
      <c r="G45" s="26">
        <f> D45 / (population_dop_znach!B$4 + population_dop_znach!C$4) * 100000</f>
        <v>0.1671828157</v>
      </c>
      <c r="H45" s="27" t="str">
        <f t="shared" si="2"/>
        <v>Нет</v>
      </c>
      <c r="I45" s="27" t="str">
        <f t="shared" si="3"/>
        <v>Нет</v>
      </c>
      <c r="J45" s="27" t="str">
        <f t="shared" si="4"/>
        <v>Нет</v>
      </c>
      <c r="K45" s="27"/>
      <c r="L45" s="27"/>
      <c r="M45" s="27"/>
      <c r="N45" s="27"/>
      <c r="O45" s="27"/>
      <c r="P45" s="27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>
      <c r="A46" s="19" t="s">
        <v>360</v>
      </c>
      <c r="B46" s="25">
        <v>1.0</v>
      </c>
      <c r="C46" s="25">
        <v>10.0</v>
      </c>
      <c r="D46" s="25">
        <v>6.0</v>
      </c>
      <c r="E46" s="26">
        <f> B46 / (population_dop_znach!B$2 + population_dop_znach!C$2) * 100000</f>
        <v>0.01389795151</v>
      </c>
      <c r="F46" s="26">
        <f> C46/ (population_dop_znach!B$3 + population_dop_znach!C$3) * 100000</f>
        <v>0.1066863652</v>
      </c>
      <c r="G46" s="26">
        <f> D46 / (population_dop_znach!B$4 + population_dop_znach!C$4) * 100000</f>
        <v>0.0668731263</v>
      </c>
      <c r="H46" s="27" t="str">
        <f t="shared" si="2"/>
        <v>Нет</v>
      </c>
      <c r="I46" s="27" t="str">
        <f t="shared" si="3"/>
        <v>Нет</v>
      </c>
      <c r="J46" s="27" t="str">
        <f t="shared" si="4"/>
        <v>Нет</v>
      </c>
      <c r="K46" s="27"/>
      <c r="L46" s="27"/>
      <c r="M46" s="27"/>
      <c r="N46" s="27"/>
      <c r="O46" s="27"/>
      <c r="P46" s="27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>
      <c r="A47" s="19" t="s">
        <v>306</v>
      </c>
      <c r="B47" s="25">
        <v>15.0</v>
      </c>
      <c r="C47" s="25">
        <v>8.0</v>
      </c>
      <c r="D47" s="25">
        <v>5.0</v>
      </c>
      <c r="E47" s="26">
        <f> B47 / (population_dop_znach!B$2 + population_dop_znach!C$2) * 100000</f>
        <v>0.2084692727</v>
      </c>
      <c r="F47" s="26">
        <f> C47/ (population_dop_znach!B$3 + population_dop_znach!C$3) * 100000</f>
        <v>0.08534909219</v>
      </c>
      <c r="G47" s="26">
        <f> D47 / (population_dop_znach!B$4 + population_dop_znach!C$4) * 100000</f>
        <v>0.05572760525</v>
      </c>
      <c r="H47" s="27" t="str">
        <f t="shared" si="2"/>
        <v>Нет</v>
      </c>
      <c r="I47" s="27" t="str">
        <f t="shared" si="3"/>
        <v>Нет</v>
      </c>
      <c r="J47" s="27" t="str">
        <f t="shared" si="4"/>
        <v>Нет</v>
      </c>
      <c r="K47" s="27"/>
      <c r="L47" s="27"/>
      <c r="M47" s="27"/>
      <c r="N47" s="27"/>
      <c r="O47" s="27"/>
      <c r="P47" s="27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>
      <c r="A48" s="19" t="s">
        <v>307</v>
      </c>
      <c r="B48" s="25">
        <v>6.0</v>
      </c>
      <c r="C48" s="25">
        <v>2.0</v>
      </c>
      <c r="D48" s="25">
        <v>5.0</v>
      </c>
      <c r="E48" s="26">
        <f> B48 / (population_dop_znach!B$2 + population_dop_znach!C$2) * 100000</f>
        <v>0.08338770907</v>
      </c>
      <c r="F48" s="26">
        <f> C48/ (population_dop_znach!B$3 + population_dop_znach!C$3) * 100000</f>
        <v>0.02133727305</v>
      </c>
      <c r="G48" s="26">
        <f> D48 / (population_dop_znach!B$4 + population_dop_znach!C$4) * 100000</f>
        <v>0.05572760525</v>
      </c>
      <c r="H48" s="27" t="str">
        <f t="shared" si="2"/>
        <v>Нет</v>
      </c>
      <c r="I48" s="27" t="str">
        <f t="shared" si="3"/>
        <v>Нет</v>
      </c>
      <c r="J48" s="27" t="str">
        <f t="shared" si="4"/>
        <v>Нет</v>
      </c>
      <c r="K48" s="27"/>
      <c r="L48" s="27"/>
      <c r="M48" s="27"/>
      <c r="N48" s="27"/>
      <c r="O48" s="27"/>
      <c r="P48" s="27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>
      <c r="A49" s="3" t="s">
        <v>308</v>
      </c>
      <c r="B49" s="25">
        <v>2.0</v>
      </c>
      <c r="C49" s="25">
        <v>7.0</v>
      </c>
      <c r="D49" s="25">
        <v>3.0</v>
      </c>
      <c r="E49" s="26">
        <f> B49 / (population_dop_znach!B$2 + population_dop_znach!C$2) * 100000</f>
        <v>0.02779590302</v>
      </c>
      <c r="F49" s="26">
        <f> C49/ (population_dop_znach!B$3 + population_dop_znach!C$3) * 100000</f>
        <v>0.07468045567</v>
      </c>
      <c r="G49" s="26">
        <f> D49 / (population_dop_znach!B$4 + population_dop_znach!C$4) * 100000</f>
        <v>0.03343656315</v>
      </c>
      <c r="H49" s="27" t="str">
        <f t="shared" si="2"/>
        <v>Нет</v>
      </c>
      <c r="I49" s="27" t="str">
        <f t="shared" si="3"/>
        <v>Нет</v>
      </c>
      <c r="J49" s="27" t="str">
        <f t="shared" si="4"/>
        <v>Нет</v>
      </c>
      <c r="K49" s="27"/>
      <c r="L49" s="27"/>
      <c r="M49" s="27"/>
      <c r="N49" s="27"/>
      <c r="O49" s="27"/>
      <c r="P49" s="27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>
      <c r="A50" s="4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>
      <c r="A51" s="4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>
      <c r="A52" s="4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>
      <c r="A53" s="4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>
      <c r="A54" s="4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>
      <c r="A55" s="4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>
      <c r="A56" s="4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>
      <c r="A57" s="4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>
      <c r="A58" s="4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>
      <c r="A59" s="4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>
      <c r="A60" s="4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>
      <c r="A61" s="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>
      <c r="A62" s="4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>
      <c r="A63" s="4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>
      <c r="A64" s="4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>
      <c r="A65" s="4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>
      <c r="A66" s="4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>
      <c r="A67" s="4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>
      <c r="A68" s="4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>
      <c r="A69" s="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>
      <c r="A70" s="4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>
      <c r="A71" s="4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>
      <c r="A72" s="4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>
      <c r="A73" s="4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>
      <c r="A74" s="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>
      <c r="A75" s="4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>
      <c r="A76" s="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>
      <c r="A77" s="4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>
      <c r="A78" s="4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>
      <c r="A79" s="4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>
      <c r="A80" s="4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>
      <c r="A81" s="4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>
      <c r="A82" s="4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>
      <c r="A83" s="4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>
      <c r="A84" s="4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>
      <c r="A85" s="4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>
      <c r="A86" s="4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>
      <c r="A87" s="4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>
      <c r="A88" s="4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>
      <c r="A89" s="4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>
      <c r="A90" s="4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>
      <c r="A91" s="4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>
      <c r="A92" s="4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>
      <c r="A93" s="4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>
      <c r="A94" s="4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>
      <c r="A95" s="4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>
      <c r="A96" s="4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>
      <c r="A97" s="4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>
      <c r="A98" s="4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>
      <c r="A99" s="4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>
      <c r="A100" s="4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>
      <c r="A101" s="4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>
      <c r="A102" s="4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>
      <c r="A103" s="4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>
      <c r="A104" s="4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>
      <c r="A105" s="4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>
      <c r="A106" s="4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>
      <c r="A107" s="4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>
      <c r="A108" s="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>
      <c r="A109" s="4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>
      <c r="A110" s="4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>
      <c r="A111" s="4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>
      <c r="A112" s="4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>
      <c r="A113" s="4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>
      <c r="A114" s="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>
      <c r="A115" s="4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>
      <c r="A116" s="4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>
      <c r="A117" s="4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>
      <c r="A118" s="4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>
      <c r="A119" s="4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>
      <c r="A120" s="4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>
      <c r="A121" s="4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>
      <c r="A122" s="4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>
      <c r="A123" s="4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>
      <c r="A124" s="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>
      <c r="A125" s="4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>
      <c r="A126" s="4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>
      <c r="A127" s="4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>
      <c r="A128" s="4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>
      <c r="A129" s="4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>
      <c r="A130" s="4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>
      <c r="A131" s="4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>
      <c r="A132" s="4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>
      <c r="A133" s="4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>
      <c r="A134" s="4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>
      <c r="A135" s="4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>
      <c r="A136" s="4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>
      <c r="A137" s="4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>
      <c r="A138" s="4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>
      <c r="A139" s="4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>
      <c r="A140" s="4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>
      <c r="A141" s="4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>
      <c r="A142" s="4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>
      <c r="A143" s="4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>
      <c r="A144" s="4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>
      <c r="A145" s="4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>
      <c r="A146" s="4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>
      <c r="A147" s="4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>
      <c r="A148" s="4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>
      <c r="A149" s="4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>
      <c r="A150" s="4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>
      <c r="A151" s="4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>
      <c r="A152" s="4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>
      <c r="A153" s="4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>
      <c r="A154" s="4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>
      <c r="A155" s="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>
      <c r="A156" s="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>
      <c r="A157" s="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>
      <c r="A158" s="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>
      <c r="A159" s="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>
      <c r="A160" s="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>
      <c r="A161" s="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>
      <c r="A162" s="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>
      <c r="A163" s="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>
      <c r="A164" s="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>
      <c r="A165" s="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>
      <c r="A166" s="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>
      <c r="A167" s="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>
      <c r="A168" s="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>
      <c r="A169" s="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>
      <c r="A170" s="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>
      <c r="A171" s="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>
      <c r="A172" s="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>
      <c r="A173" s="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>
      <c r="A174" s="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>
      <c r="A175" s="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>
      <c r="A176" s="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>
      <c r="A177" s="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>
      <c r="A178" s="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>
      <c r="A179" s="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>
      <c r="A180" s="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>
      <c r="A181" s="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>
      <c r="A182" s="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>
      <c r="A183" s="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>
      <c r="A184" s="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>
      <c r="A185" s="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>
      <c r="A186" s="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>
      <c r="A187" s="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>
      <c r="A188" s="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>
      <c r="A189" s="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>
      <c r="A190" s="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>
      <c r="A191" s="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>
      <c r="A192" s="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>
      <c r="A193" s="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>
      <c r="A194" s="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>
      <c r="A195" s="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>
      <c r="A196" s="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>
      <c r="A197" s="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>
      <c r="A198" s="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>
      <c r="A199" s="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>
      <c r="A200" s="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>
      <c r="A201" s="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>
      <c r="A202" s="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>
      <c r="A203" s="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>
      <c r="A204" s="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>
      <c r="A205" s="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>
      <c r="A206" s="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>
      <c r="A207" s="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>
      <c r="A208" s="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>
      <c r="A209" s="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>
      <c r="A210" s="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>
      <c r="A211" s="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>
      <c r="A212" s="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>
      <c r="A213" s="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>
      <c r="A214" s="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>
      <c r="A215" s="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>
      <c r="A216" s="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>
      <c r="A217" s="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>
      <c r="A218" s="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>
      <c r="A219" s="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>
      <c r="A220" s="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>
      <c r="A221" s="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>
      <c r="A222" s="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>
      <c r="A223" s="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>
      <c r="A224" s="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>
      <c r="A225" s="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>
      <c r="A226" s="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>
      <c r="A227" s="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>
      <c r="A228" s="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>
      <c r="A229" s="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>
      <c r="A230" s="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>
      <c r="A231" s="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>
      <c r="A232" s="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>
      <c r="A233" s="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>
      <c r="A234" s="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>
      <c r="A235" s="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>
      <c r="A236" s="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>
      <c r="A237" s="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>
      <c r="A238" s="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>
      <c r="A239" s="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>
      <c r="A240" s="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>
      <c r="A241" s="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>
      <c r="A242" s="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>
      <c r="A243" s="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>
      <c r="A244" s="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>
      <c r="A245" s="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>
      <c r="A246" s="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>
      <c r="A247" s="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>
      <c r="A248" s="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>
      <c r="A249" s="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>
      <c r="A250" s="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>
      <c r="A251" s="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>
      <c r="A252" s="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>
      <c r="A253" s="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>
      <c r="A254" s="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>
      <c r="A255" s="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>
      <c r="A256" s="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>
      <c r="A257" s="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>
      <c r="A258" s="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>
      <c r="A259" s="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>
      <c r="A260" s="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>
      <c r="A261" s="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>
      <c r="A262" s="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>
      <c r="A263" s="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>
      <c r="A264" s="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>
      <c r="A265" s="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>
      <c r="A266" s="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>
      <c r="A267" s="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>
      <c r="A268" s="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>
      <c r="A269" s="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>
      <c r="A270" s="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>
      <c r="A271" s="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>
      <c r="A272" s="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>
      <c r="A273" s="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>
      <c r="A274" s="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>
      <c r="A275" s="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>
      <c r="A276" s="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>
      <c r="A277" s="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>
      <c r="A278" s="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>
      <c r="A279" s="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>
      <c r="A280" s="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>
      <c r="A281" s="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>
      <c r="A282" s="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>
      <c r="A283" s="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>
      <c r="A284" s="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>
      <c r="A285" s="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>
      <c r="A286" s="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>
      <c r="A287" s="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>
      <c r="A288" s="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>
      <c r="A289" s="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>
      <c r="A290" s="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>
      <c r="A291" s="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>
      <c r="A292" s="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>
      <c r="A293" s="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>
      <c r="A294" s="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>
      <c r="A295" s="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>
      <c r="A296" s="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>
      <c r="A297" s="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>
      <c r="A298" s="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>
      <c r="A299" s="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>
      <c r="A300" s="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>
      <c r="A301" s="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>
      <c r="A302" s="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>
      <c r="A303" s="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>
      <c r="A304" s="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>
      <c r="A305" s="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>
      <c r="A306" s="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>
      <c r="A307" s="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>
      <c r="A308" s="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>
      <c r="A309" s="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>
      <c r="A310" s="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>
      <c r="A311" s="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>
      <c r="A312" s="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>
      <c r="A313" s="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>
      <c r="A314" s="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>
      <c r="A315" s="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>
      <c r="A316" s="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>
      <c r="A317" s="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>
      <c r="A318" s="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>
      <c r="A319" s="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>
      <c r="A320" s="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>
      <c r="A321" s="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>
      <c r="A322" s="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>
      <c r="A323" s="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>
      <c r="A324" s="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>
      <c r="A325" s="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>
      <c r="A326" s="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>
      <c r="A327" s="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>
      <c r="A328" s="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>
      <c r="A329" s="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>
      <c r="A330" s="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>
      <c r="A331" s="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>
      <c r="A332" s="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>
      <c r="A333" s="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>
      <c r="A334" s="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>
      <c r="A335" s="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>
      <c r="A336" s="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>
      <c r="A337" s="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>
      <c r="A338" s="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>
      <c r="A339" s="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>
      <c r="A340" s="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>
      <c r="A341" s="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>
      <c r="A342" s="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>
      <c r="A343" s="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>
      <c r="A344" s="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>
      <c r="A345" s="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>
      <c r="A346" s="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>
      <c r="A347" s="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>
      <c r="A348" s="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>
      <c r="A349" s="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>
      <c r="A350" s="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>
      <c r="A351" s="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>
      <c r="A352" s="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>
      <c r="A353" s="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>
      <c r="A354" s="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>
      <c r="A355" s="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>
      <c r="A356" s="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>
      <c r="A357" s="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>
      <c r="A358" s="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>
      <c r="A359" s="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>
      <c r="A360" s="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>
      <c r="A361" s="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>
      <c r="A362" s="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>
      <c r="A363" s="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>
      <c r="A364" s="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>
      <c r="A365" s="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>
      <c r="A366" s="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>
      <c r="A367" s="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>
      <c r="A368" s="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>
      <c r="A369" s="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>
      <c r="A370" s="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>
      <c r="A371" s="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>
      <c r="A372" s="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>
      <c r="A373" s="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>
      <c r="A374" s="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>
      <c r="A375" s="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>
      <c r="A376" s="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>
      <c r="A377" s="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>
      <c r="A378" s="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>
      <c r="A379" s="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>
      <c r="A380" s="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>
      <c r="A381" s="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>
      <c r="A382" s="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>
      <c r="A383" s="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>
      <c r="A384" s="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>
      <c r="A385" s="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>
      <c r="A386" s="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>
      <c r="A387" s="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>
      <c r="A388" s="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>
      <c r="A389" s="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>
      <c r="A390" s="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>
      <c r="A391" s="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>
      <c r="A392" s="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>
      <c r="A393" s="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>
      <c r="A394" s="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>
      <c r="A395" s="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>
      <c r="A396" s="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>
      <c r="A397" s="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>
      <c r="A398" s="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>
      <c r="A399" s="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>
      <c r="A400" s="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>
      <c r="A401" s="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>
      <c r="A402" s="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>
      <c r="A403" s="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>
      <c r="A404" s="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>
      <c r="A405" s="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>
      <c r="A406" s="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>
      <c r="A407" s="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>
      <c r="A408" s="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>
      <c r="A409" s="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>
      <c r="A410" s="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>
      <c r="A411" s="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>
      <c r="A412" s="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>
      <c r="A413" s="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>
      <c r="A414" s="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>
      <c r="A415" s="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>
      <c r="A416" s="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>
      <c r="A417" s="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>
      <c r="A418" s="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>
      <c r="A419" s="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>
      <c r="A420" s="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>
      <c r="A421" s="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>
      <c r="A422" s="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>
      <c r="A423" s="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>
      <c r="A424" s="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>
      <c r="A425" s="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>
      <c r="A426" s="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>
      <c r="A427" s="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>
      <c r="A428" s="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>
      <c r="A429" s="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>
      <c r="A430" s="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>
      <c r="A431" s="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>
      <c r="A432" s="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>
      <c r="A433" s="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>
      <c r="A434" s="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>
      <c r="A435" s="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>
      <c r="A436" s="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>
      <c r="A437" s="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>
      <c r="A438" s="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>
      <c r="A439" s="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>
      <c r="A440" s="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>
      <c r="A441" s="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>
      <c r="A442" s="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>
      <c r="A443" s="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>
      <c r="A444" s="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>
      <c r="A445" s="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>
      <c r="A446" s="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>
      <c r="A447" s="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>
      <c r="A448" s="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>
      <c r="A449" s="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>
      <c r="A450" s="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>
      <c r="A451" s="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>
      <c r="A452" s="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>
      <c r="A453" s="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>
      <c r="A454" s="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>
      <c r="A455" s="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>
      <c r="A456" s="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>
      <c r="A457" s="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>
      <c r="A458" s="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>
      <c r="A459" s="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>
      <c r="A460" s="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>
      <c r="A461" s="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>
      <c r="A462" s="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>
      <c r="A463" s="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>
      <c r="A464" s="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>
      <c r="A465" s="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>
      <c r="A466" s="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>
      <c r="A467" s="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>
      <c r="A468" s="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>
      <c r="A469" s="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>
      <c r="A470" s="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>
      <c r="A471" s="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>
      <c r="A472" s="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>
      <c r="A473" s="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>
      <c r="A474" s="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>
      <c r="A475" s="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>
      <c r="A476" s="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>
      <c r="A477" s="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>
      <c r="A478" s="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>
      <c r="A479" s="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>
      <c r="A480" s="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>
      <c r="A481" s="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>
      <c r="A482" s="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>
      <c r="A483" s="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>
      <c r="A484" s="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>
      <c r="A485" s="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>
      <c r="A486" s="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>
      <c r="A487" s="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>
      <c r="A488" s="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>
      <c r="A489" s="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>
      <c r="A490" s="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>
      <c r="A491" s="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>
      <c r="A492" s="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>
      <c r="A493" s="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>
      <c r="A494" s="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>
      <c r="A495" s="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>
      <c r="A496" s="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>
      <c r="A497" s="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>
      <c r="A498" s="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>
      <c r="A499" s="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>
      <c r="A500" s="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>
      <c r="A501" s="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>
      <c r="A502" s="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>
      <c r="A503" s="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>
      <c r="A504" s="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>
      <c r="A505" s="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>
      <c r="A506" s="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>
      <c r="A507" s="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>
      <c r="A508" s="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>
      <c r="A509" s="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>
      <c r="A510" s="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>
      <c r="A511" s="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>
      <c r="A512" s="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>
      <c r="A513" s="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>
      <c r="A514" s="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>
      <c r="A515" s="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>
      <c r="A516" s="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>
      <c r="A517" s="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>
      <c r="A518" s="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>
      <c r="A519" s="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>
      <c r="A520" s="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>
      <c r="A521" s="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>
      <c r="A522" s="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>
      <c r="A523" s="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>
      <c r="A524" s="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>
      <c r="A525" s="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>
      <c r="A526" s="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>
      <c r="A527" s="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>
      <c r="A528" s="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>
      <c r="A529" s="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>
      <c r="A530" s="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>
      <c r="A531" s="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>
      <c r="A532" s="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>
      <c r="A533" s="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>
      <c r="A534" s="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>
      <c r="A535" s="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>
      <c r="A536" s="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>
      <c r="A537" s="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>
      <c r="A538" s="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>
      <c r="A539" s="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>
      <c r="A540" s="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>
      <c r="A541" s="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>
      <c r="A542" s="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>
      <c r="A543" s="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>
      <c r="A544" s="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>
      <c r="A545" s="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>
      <c r="A546" s="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>
      <c r="A547" s="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>
      <c r="A548" s="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>
      <c r="A549" s="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>
      <c r="A550" s="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>
      <c r="A551" s="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>
      <c r="A552" s="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>
      <c r="A553" s="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>
      <c r="A554" s="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>
      <c r="A555" s="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>
      <c r="A556" s="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>
      <c r="A557" s="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>
      <c r="A558" s="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>
      <c r="A559" s="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>
      <c r="A560" s="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>
      <c r="A561" s="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>
      <c r="A562" s="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>
      <c r="A563" s="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>
      <c r="A564" s="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>
      <c r="A565" s="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>
      <c r="A566" s="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>
      <c r="A567" s="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>
      <c r="A568" s="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>
      <c r="A569" s="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>
      <c r="A570" s="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>
      <c r="A571" s="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>
      <c r="A572" s="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>
      <c r="A573" s="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>
      <c r="A574" s="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>
      <c r="A575" s="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>
      <c r="A576" s="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>
      <c r="A577" s="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>
      <c r="A578" s="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>
      <c r="A579" s="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>
      <c r="A580" s="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>
      <c r="A581" s="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>
      <c r="A582" s="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>
      <c r="A583" s="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>
      <c r="A584" s="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>
      <c r="A585" s="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>
      <c r="A586" s="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>
      <c r="A587" s="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>
      <c r="A588" s="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>
      <c r="A589" s="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>
      <c r="A590" s="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>
      <c r="A591" s="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>
      <c r="A592" s="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>
      <c r="A593" s="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>
      <c r="A594" s="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>
      <c r="A595" s="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>
      <c r="A596" s="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>
      <c r="A597" s="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>
      <c r="A598" s="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>
      <c r="A599" s="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>
      <c r="A600" s="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>
      <c r="A601" s="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>
      <c r="A602" s="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>
      <c r="A603" s="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>
      <c r="A604" s="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>
      <c r="A605" s="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>
      <c r="A606" s="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>
      <c r="A607" s="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>
      <c r="A608" s="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>
      <c r="A609" s="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>
      <c r="A610" s="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>
      <c r="A611" s="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>
      <c r="A612" s="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>
      <c r="A613" s="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>
      <c r="A614" s="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>
      <c r="A615" s="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>
      <c r="A616" s="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>
      <c r="A617" s="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>
      <c r="A618" s="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>
      <c r="A619" s="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>
      <c r="A620" s="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>
      <c r="A621" s="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>
      <c r="A622" s="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>
      <c r="A623" s="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>
      <c r="A624" s="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>
      <c r="A625" s="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>
      <c r="A626" s="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>
      <c r="A627" s="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>
      <c r="A628" s="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>
      <c r="A629" s="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>
      <c r="A630" s="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>
      <c r="A631" s="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>
      <c r="A632" s="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>
      <c r="A633" s="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>
      <c r="A634" s="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>
      <c r="A635" s="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>
      <c r="A636" s="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>
      <c r="A637" s="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>
      <c r="A638" s="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>
      <c r="A639" s="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>
      <c r="A640" s="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>
      <c r="A641" s="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>
      <c r="A642" s="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>
      <c r="A643" s="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>
      <c r="A644" s="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>
      <c r="A645" s="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>
      <c r="A646" s="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>
      <c r="A647" s="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>
      <c r="A648" s="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>
      <c r="A649" s="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>
      <c r="A650" s="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>
      <c r="A651" s="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>
      <c r="A652" s="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>
      <c r="A653" s="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>
      <c r="A654" s="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>
      <c r="A655" s="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>
      <c r="A656" s="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>
      <c r="A657" s="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>
      <c r="A658" s="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>
      <c r="A659" s="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>
      <c r="A660" s="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>
      <c r="A661" s="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>
      <c r="A662" s="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>
      <c r="A663" s="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>
      <c r="A664" s="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>
      <c r="A665" s="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>
      <c r="A666" s="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>
      <c r="A667" s="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>
      <c r="A668" s="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>
      <c r="A669" s="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>
      <c r="A670" s="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>
      <c r="A671" s="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>
      <c r="A672" s="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>
      <c r="A673" s="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>
      <c r="A674" s="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>
      <c r="A675" s="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>
      <c r="A676" s="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>
      <c r="A677" s="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>
      <c r="A678" s="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>
      <c r="A679" s="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>
      <c r="A680" s="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>
      <c r="A681" s="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>
      <c r="A682" s="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>
      <c r="A683" s="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>
      <c r="A684" s="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>
      <c r="A685" s="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>
      <c r="A686" s="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>
      <c r="A687" s="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>
      <c r="A688" s="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>
      <c r="A689" s="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>
      <c r="A690" s="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>
      <c r="A691" s="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>
      <c r="A692" s="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>
      <c r="A693" s="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>
      <c r="A694" s="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>
      <c r="A695" s="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>
      <c r="A696" s="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>
      <c r="A697" s="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>
      <c r="A698" s="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>
      <c r="A699" s="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>
      <c r="A700" s="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>
      <c r="A701" s="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>
      <c r="A702" s="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>
      <c r="A703" s="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>
      <c r="A704" s="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>
      <c r="A705" s="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>
      <c r="A706" s="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>
      <c r="A707" s="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>
      <c r="A708" s="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>
      <c r="A709" s="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>
      <c r="A710" s="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>
      <c r="A711" s="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>
      <c r="A712" s="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>
      <c r="A713" s="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>
      <c r="A714" s="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>
      <c r="A715" s="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>
      <c r="A716" s="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>
      <c r="A717" s="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>
      <c r="A718" s="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>
      <c r="A719" s="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>
      <c r="A720" s="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>
      <c r="A721" s="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>
      <c r="A722" s="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>
      <c r="A723" s="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>
      <c r="A724" s="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>
      <c r="A725" s="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>
      <c r="A726" s="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>
      <c r="A727" s="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>
      <c r="A728" s="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>
      <c r="A729" s="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>
      <c r="A730" s="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>
      <c r="A731" s="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>
      <c r="A732" s="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>
      <c r="A733" s="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>
      <c r="A734" s="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>
      <c r="A735" s="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>
      <c r="A736" s="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>
      <c r="A737" s="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>
      <c r="A738" s="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>
      <c r="A739" s="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>
      <c r="A740" s="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>
      <c r="A741" s="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>
      <c r="A742" s="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>
      <c r="A743" s="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>
      <c r="A744" s="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>
      <c r="A745" s="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>
      <c r="A746" s="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>
      <c r="A747" s="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>
      <c r="A748" s="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>
      <c r="A749" s="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>
      <c r="A750" s="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>
      <c r="A751" s="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>
      <c r="A752" s="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>
      <c r="A753" s="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>
      <c r="A754" s="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>
      <c r="A755" s="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>
      <c r="A756" s="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>
      <c r="A757" s="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>
      <c r="A758" s="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>
      <c r="A759" s="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>
      <c r="A760" s="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>
      <c r="A761" s="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>
      <c r="A762" s="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>
      <c r="A763" s="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>
      <c r="A764" s="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>
      <c r="A765" s="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>
      <c r="A766" s="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>
      <c r="A767" s="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>
      <c r="A768" s="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>
      <c r="A769" s="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>
      <c r="A770" s="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>
      <c r="A771" s="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>
      <c r="A772" s="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>
      <c r="A773" s="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>
      <c r="A774" s="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>
      <c r="A775" s="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>
      <c r="A776" s="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>
      <c r="A777" s="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>
      <c r="A778" s="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>
      <c r="A779" s="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>
      <c r="A780" s="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>
      <c r="A781" s="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>
      <c r="A782" s="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>
      <c r="A783" s="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>
      <c r="A784" s="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>
      <c r="A785" s="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>
      <c r="A786" s="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>
      <c r="A787" s="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>
      <c r="A788" s="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>
      <c r="A789" s="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>
      <c r="A790" s="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>
      <c r="A791" s="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>
      <c r="A792" s="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>
      <c r="A793" s="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>
      <c r="A794" s="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>
      <c r="A795" s="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>
      <c r="A796" s="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>
      <c r="A797" s="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>
      <c r="A798" s="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>
      <c r="A799" s="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>
      <c r="A800" s="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>
      <c r="A801" s="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>
      <c r="A802" s="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>
      <c r="A803" s="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>
      <c r="A804" s="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>
      <c r="A805" s="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>
      <c r="A806" s="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>
      <c r="A807" s="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>
      <c r="A808" s="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>
      <c r="A809" s="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>
      <c r="A810" s="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>
      <c r="A811" s="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>
      <c r="A812" s="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>
      <c r="A813" s="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>
      <c r="A814" s="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>
      <c r="A815" s="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>
      <c r="A816" s="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>
      <c r="A817" s="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>
      <c r="A818" s="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>
      <c r="A819" s="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>
      <c r="A820" s="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>
      <c r="A821" s="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>
      <c r="A822" s="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>
      <c r="A823" s="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>
      <c r="A824" s="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>
      <c r="A825" s="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>
      <c r="A826" s="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>
      <c r="A827" s="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>
      <c r="A828" s="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>
      <c r="A829" s="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>
      <c r="A830" s="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>
      <c r="A831" s="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>
      <c r="A832" s="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>
      <c r="A833" s="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>
      <c r="A834" s="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>
      <c r="A835" s="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>
      <c r="A836" s="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>
      <c r="A837" s="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>
      <c r="A838" s="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>
      <c r="A839" s="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>
      <c r="A840" s="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>
      <c r="A841" s="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>
      <c r="A842" s="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>
      <c r="A843" s="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>
      <c r="A844" s="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>
      <c r="A845" s="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>
      <c r="A846" s="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>
      <c r="A847" s="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>
      <c r="A848" s="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>
      <c r="A849" s="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>
      <c r="A850" s="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>
      <c r="A851" s="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>
      <c r="A852" s="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>
      <c r="A853" s="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>
      <c r="A854" s="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>
      <c r="A855" s="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>
      <c r="A856" s="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>
      <c r="A857" s="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>
      <c r="A858" s="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>
      <c r="A859" s="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>
      <c r="A860" s="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>
      <c r="A861" s="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>
      <c r="A862" s="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>
      <c r="A863" s="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>
      <c r="A864" s="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>
      <c r="A865" s="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>
      <c r="A866" s="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>
      <c r="A867" s="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>
      <c r="A868" s="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>
      <c r="A869" s="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>
      <c r="A870" s="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>
      <c r="A871" s="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>
      <c r="A872" s="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>
      <c r="A873" s="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>
      <c r="A874" s="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>
      <c r="A875" s="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>
      <c r="A876" s="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>
      <c r="A877" s="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>
      <c r="A878" s="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>
      <c r="A879" s="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>
      <c r="A880" s="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>
      <c r="A881" s="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>
      <c r="A882" s="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>
      <c r="A883" s="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>
      <c r="A884" s="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>
      <c r="A885" s="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>
      <c r="A886" s="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>
      <c r="A887" s="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>
      <c r="A888" s="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>
      <c r="A889" s="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>
      <c r="A890" s="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>
      <c r="A891" s="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>
      <c r="A892" s="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>
      <c r="A893" s="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>
      <c r="A894" s="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>
      <c r="A895" s="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>
      <c r="A896" s="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>
      <c r="A897" s="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>
      <c r="A898" s="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>
      <c r="A899" s="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>
      <c r="A900" s="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>
      <c r="A901" s="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>
      <c r="A902" s="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>
      <c r="A903" s="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>
      <c r="A904" s="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>
      <c r="A905" s="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>
      <c r="A906" s="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>
      <c r="A907" s="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>
      <c r="A908" s="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>
      <c r="A909" s="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>
      <c r="A910" s="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>
      <c r="A911" s="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>
      <c r="A912" s="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>
      <c r="A913" s="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>
      <c r="A914" s="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>
      <c r="A915" s="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>
      <c r="A916" s="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>
      <c r="A917" s="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>
      <c r="A918" s="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>
      <c r="A919" s="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>
      <c r="A920" s="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>
      <c r="A921" s="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>
      <c r="A922" s="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>
      <c r="A923" s="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>
      <c r="A924" s="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>
      <c r="A925" s="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>
      <c r="A926" s="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>
      <c r="A927" s="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>
      <c r="A928" s="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>
      <c r="A929" s="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>
      <c r="A930" s="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>
      <c r="A931" s="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>
      <c r="A932" s="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>
      <c r="A933" s="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>
      <c r="A934" s="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>
      <c r="A935" s="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>
      <c r="A936" s="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>
      <c r="A937" s="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>
      <c r="A938" s="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>
      <c r="A939" s="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>
      <c r="A940" s="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>
      <c r="A941" s="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>
      <c r="A942" s="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>
      <c r="A943" s="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>
      <c r="A944" s="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>
      <c r="A945" s="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>
      <c r="A946" s="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>
      <c r="A947" s="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>
      <c r="A948" s="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>
      <c r="A949" s="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>
      <c r="A950" s="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>
      <c r="A951" s="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>
      <c r="A952" s="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>
      <c r="A953" s="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>
      <c r="A954" s="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>
      <c r="A955" s="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>
      <c r="A956" s="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>
      <c r="A957" s="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>
      <c r="A958" s="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>
      <c r="A959" s="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>
      <c r="A960" s="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>
      <c r="A961" s="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>
      <c r="A962" s="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>
      <c r="A963" s="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>
      <c r="A964" s="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>
      <c r="A965" s="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>
      <c r="A966" s="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>
      <c r="A967" s="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>
      <c r="A968" s="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>
      <c r="A969" s="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>
      <c r="A970" s="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>
      <c r="A971" s="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>
      <c r="A972" s="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>
      <c r="A973" s="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>
      <c r="A974" s="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>
      <c r="A975" s="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>
      <c r="A976" s="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>
      <c r="A977" s="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>
      <c r="A978" s="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>
      <c r="A979" s="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>
      <c r="A980" s="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>
      <c r="A981" s="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>
      <c r="A982" s="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>
      <c r="A983" s="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>
      <c r="A984" s="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>
      <c r="A985" s="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>
      <c r="A986" s="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>
      <c r="A987" s="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>
      <c r="A988" s="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>
      <c r="A989" s="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>
      <c r="A990" s="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>
      <c r="A991" s="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>
      <c r="A992" s="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>
      <c r="A993" s="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>
      <c r="A994" s="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>
      <c r="A995" s="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>
      <c r="A996" s="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>
      <c r="A997" s="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>
      <c r="A998" s="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>
      <c r="A999" s="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>
      <c r="A1000" s="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  <row r="1001">
      <c r="A1001" s="9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9"/>
      <c r="N1001" s="9"/>
      <c r="O1001" s="9"/>
      <c r="P1001" s="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</row>
    <row r="1002">
      <c r="A1002" s="9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9"/>
      <c r="N1002" s="9"/>
      <c r="O1002" s="9"/>
      <c r="P1002" s="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88"/>
    <col customWidth="1" min="2" max="2" width="17.0"/>
  </cols>
  <sheetData>
    <row r="1">
      <c r="A1" s="10" t="s">
        <v>275</v>
      </c>
      <c r="B1" s="10" t="s">
        <v>361</v>
      </c>
    </row>
    <row r="2">
      <c r="A2" s="10" t="s">
        <v>356</v>
      </c>
      <c r="B2" s="11">
        <v>1.8623255025325542</v>
      </c>
    </row>
    <row r="3">
      <c r="A3" s="10" t="s">
        <v>302</v>
      </c>
      <c r="B3" s="11">
        <v>5.309017477368923</v>
      </c>
    </row>
    <row r="4">
      <c r="A4" s="10" t="s">
        <v>294</v>
      </c>
      <c r="B4" s="11">
        <v>1.931815260089739</v>
      </c>
    </row>
    <row r="5">
      <c r="A5" s="10"/>
      <c r="B5" s="10"/>
    </row>
    <row r="6">
      <c r="A6" s="10" t="s">
        <v>275</v>
      </c>
      <c r="B6" s="10" t="s">
        <v>362</v>
      </c>
    </row>
    <row r="7">
      <c r="A7" s="10" t="s">
        <v>356</v>
      </c>
      <c r="B7" s="11">
        <v>1.6536386611757328</v>
      </c>
    </row>
    <row r="8">
      <c r="A8" s="10" t="s">
        <v>359</v>
      </c>
      <c r="B8" s="11">
        <v>0.9495086506105821</v>
      </c>
    </row>
    <row r="9">
      <c r="A9" s="10" t="s">
        <v>302</v>
      </c>
      <c r="B9" s="11">
        <v>3.1045732284008922</v>
      </c>
    </row>
    <row r="10">
      <c r="A10" s="10"/>
      <c r="B10" s="10"/>
    </row>
    <row r="11"/>
    <row r="12"/>
    <row r="13"/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34.25"/>
  </cols>
  <sheetData>
    <row r="1">
      <c r="A1" s="12" t="s">
        <v>364</v>
      </c>
      <c r="B1" s="9"/>
    </row>
    <row r="2">
      <c r="A2" s="4" t="s">
        <v>275</v>
      </c>
      <c r="B2" s="3" t="s">
        <v>312</v>
      </c>
    </row>
    <row r="3">
      <c r="A3" s="4" t="s">
        <v>321</v>
      </c>
      <c r="B3" s="3" t="s">
        <v>365</v>
      </c>
    </row>
    <row r="4">
      <c r="A4" s="4" t="s">
        <v>322</v>
      </c>
      <c r="B4" s="3" t="s">
        <v>366</v>
      </c>
    </row>
    <row r="5">
      <c r="A5" s="4" t="s">
        <v>323</v>
      </c>
      <c r="B5" s="3" t="s">
        <v>367</v>
      </c>
    </row>
    <row r="6">
      <c r="A6" s="4" t="s">
        <v>324</v>
      </c>
      <c r="B6" s="3" t="s">
        <v>368</v>
      </c>
    </row>
    <row r="7">
      <c r="A7" s="4" t="s">
        <v>325</v>
      </c>
      <c r="B7" s="3" t="s">
        <v>369</v>
      </c>
    </row>
    <row r="8">
      <c r="A8" s="4" t="s">
        <v>326</v>
      </c>
      <c r="B8" s="3" t="s">
        <v>370</v>
      </c>
    </row>
    <row r="9">
      <c r="A9" s="4" t="s">
        <v>327</v>
      </c>
      <c r="B9" s="3" t="s">
        <v>371</v>
      </c>
    </row>
    <row r="10">
      <c r="A10" s="3" t="s">
        <v>328</v>
      </c>
      <c r="B10" s="3" t="s">
        <v>372</v>
      </c>
    </row>
    <row r="11">
      <c r="A11" s="3" t="s">
        <v>329</v>
      </c>
      <c r="B11" s="3" t="s">
        <v>373</v>
      </c>
    </row>
    <row r="12">
      <c r="A12" s="3" t="s">
        <v>274</v>
      </c>
      <c r="B12" s="3"/>
    </row>
    <row r="13">
      <c r="A13" s="4"/>
      <c r="B13" s="3"/>
    </row>
    <row r="14">
      <c r="A14" s="4"/>
      <c r="B14" s="3"/>
    </row>
    <row r="15">
      <c r="A15" s="4"/>
      <c r="B15" s="3"/>
    </row>
    <row r="16">
      <c r="A16" s="4"/>
      <c r="B16" s="3"/>
    </row>
    <row r="17">
      <c r="A17" s="4"/>
      <c r="B17" s="3"/>
    </row>
    <row r="18">
      <c r="A18" s="4"/>
      <c r="B18" s="3"/>
    </row>
    <row r="19">
      <c r="A19" s="4"/>
      <c r="B19" s="3"/>
    </row>
    <row r="20">
      <c r="A20" s="4"/>
      <c r="B20" s="3"/>
    </row>
    <row r="21">
      <c r="A21" s="4"/>
      <c r="B21" s="3"/>
    </row>
    <row r="22">
      <c r="A22" s="4"/>
      <c r="B22" s="3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1.75"/>
    <col customWidth="1" min="3" max="3" width="12.38"/>
    <col customWidth="1" min="4" max="4" width="10.88"/>
    <col customWidth="1" min="5" max="5" width="12.25"/>
    <col customWidth="1" min="6" max="6" width="10.63"/>
    <col customWidth="1" min="7" max="7" width="11.88"/>
    <col customWidth="1" min="8" max="8" width="10.25"/>
    <col customWidth="1" min="9" max="9" width="13.88"/>
  </cols>
  <sheetData>
    <row r="1" ht="25.5" customHeight="1">
      <c r="A1" s="1" t="s">
        <v>0</v>
      </c>
      <c r="B1" s="1" t="s">
        <v>1</v>
      </c>
      <c r="C1" s="1" t="s">
        <v>2</v>
      </c>
      <c r="D1" s="2" t="s">
        <v>374</v>
      </c>
      <c r="E1" s="2" t="s">
        <v>375</v>
      </c>
      <c r="F1" s="3" t="s">
        <v>376</v>
      </c>
      <c r="G1" s="3" t="s">
        <v>377</v>
      </c>
      <c r="H1" s="3" t="s">
        <v>378</v>
      </c>
      <c r="I1" s="3" t="s">
        <v>10</v>
      </c>
    </row>
    <row r="2">
      <c r="A2" s="4" t="s">
        <v>11</v>
      </c>
      <c r="B2" s="4" t="s">
        <v>12</v>
      </c>
      <c r="C2" s="4" t="s">
        <v>13</v>
      </c>
      <c r="D2" s="6">
        <v>9.0</v>
      </c>
      <c r="E2" s="6">
        <v>2.0</v>
      </c>
      <c r="F2" s="8">
        <f>IFERROR(D2 / SUMIF(population_edit!A$2:A$1276, A2, population_edit!C$2:C$1276) * 100000, 0)</f>
        <v>7.413631197</v>
      </c>
      <c r="G2" s="8">
        <f>IFERROR(E2 / SUMIF(population_edit!A$2:A$1276, A2, population_edit!D$2:D$1276) * 100000, 0)</f>
        <v>1.742554934</v>
      </c>
      <c r="H2" s="8">
        <f>IFERROR((D2+E2) / (SUMIF(population_edit!A$2:A$1276, A2, population_edit!C$2:C$1276) + SUMIF(population_edit!A$2:A$1276, A2, population_edit!D$2:D$1276)) * 100000, 0)</f>
        <v>4.657622411</v>
      </c>
      <c r="I2" s="9" t="str">
        <f t="shared" ref="I2:I86" si="1">IF(H2 &lt;= PERCENTILE(H$2:H$86, 0.33), "Низкий", IF(H2 &lt;= PERCENTILE(H$2:H$86, 0.67), "Средний", "Высокий"))</f>
        <v>Высокий</v>
      </c>
    </row>
    <row r="3">
      <c r="A3" s="4" t="s">
        <v>14</v>
      </c>
      <c r="B3" s="4" t="s">
        <v>15</v>
      </c>
      <c r="C3" s="4" t="s">
        <v>16</v>
      </c>
      <c r="D3" s="6">
        <v>2.0</v>
      </c>
      <c r="E3" s="6">
        <v>1.0</v>
      </c>
      <c r="F3" s="8">
        <f>IFERROR(D3 / SUMIF(population_edit!A$2:A$1276, A3, population_edit!C$2:C$1276) * 100000, 0)</f>
        <v>2.124089297</v>
      </c>
      <c r="G3" s="8">
        <f>IFERROR(E3 / SUMIF(population_edit!A$2:A$1276, A3, population_edit!D$2:D$1276) * 100000, 0)</f>
        <v>1.119256813</v>
      </c>
      <c r="H3" s="8">
        <f>IFERROR((D3+E3) / (SUMIF(population_edit!A$2:A$1276, A3, population_edit!C$2:C$1276) + SUMIF(population_edit!A$2:A$1276, A3, population_edit!D$2:D$1276)) * 100000, 0)</f>
        <v>1.634850656</v>
      </c>
      <c r="I3" s="9" t="str">
        <f t="shared" si="1"/>
        <v>Низкий</v>
      </c>
    </row>
    <row r="4">
      <c r="A4" s="4" t="s">
        <v>17</v>
      </c>
      <c r="B4" s="4" t="s">
        <v>18</v>
      </c>
      <c r="C4" s="4" t="s">
        <v>19</v>
      </c>
      <c r="D4" s="6">
        <v>4.0</v>
      </c>
      <c r="E4" s="6">
        <v>1.0</v>
      </c>
      <c r="F4" s="8">
        <f>IFERROR(D4 / SUMIF(population_edit!A$2:A$1276, A4, population_edit!C$2:C$1276) * 100000, 0)</f>
        <v>3.866751735</v>
      </c>
      <c r="G4" s="8">
        <f>IFERROR(E4 / SUMIF(population_edit!A$2:A$1276, A4, population_edit!D$2:D$1276) * 100000, 0)</f>
        <v>1.024201891</v>
      </c>
      <c r="H4" s="8">
        <f>IFERROR((D4+E4) / (SUMIF(population_edit!A$2:A$1276, A4, population_edit!C$2:C$1276) + SUMIF(population_edit!A$2:A$1276, A4, population_edit!D$2:D$1276)) * 100000, 0)</f>
        <v>2.486535411</v>
      </c>
      <c r="I4" s="9" t="str">
        <f t="shared" si="1"/>
        <v>Средний</v>
      </c>
    </row>
    <row r="5">
      <c r="A5" s="4" t="s">
        <v>20</v>
      </c>
      <c r="B5" s="4" t="s">
        <v>21</v>
      </c>
      <c r="C5" s="4" t="s">
        <v>22</v>
      </c>
      <c r="D5" s="6">
        <v>4.0</v>
      </c>
      <c r="E5" s="6">
        <v>3.0</v>
      </c>
      <c r="F5" s="8">
        <f>IFERROR(D5 / SUMIF(population_edit!A$2:A$1276, A5, population_edit!C$2:C$1276) * 100000, 0)</f>
        <v>2.260052998</v>
      </c>
      <c r="G5" s="8">
        <f>IFERROR(E5 / SUMIF(population_edit!A$2:A$1276, A5, population_edit!D$2:D$1276) * 100000, 0)</f>
        <v>1.790841636</v>
      </c>
      <c r="H5" s="8">
        <f>IFERROR((D5+E5) / (SUMIF(population_edit!A$2:A$1276, A5, population_edit!C$2:C$1276) + SUMIF(population_edit!A$2:A$1276, A5, population_edit!D$2:D$1276)) * 100000, 0)</f>
        <v>2.031894945</v>
      </c>
      <c r="I5" s="9" t="str">
        <f t="shared" si="1"/>
        <v>Средний</v>
      </c>
    </row>
    <row r="6">
      <c r="A6" s="4" t="s">
        <v>23</v>
      </c>
      <c r="B6" s="4" t="s">
        <v>24</v>
      </c>
      <c r="C6" s="4" t="s">
        <v>25</v>
      </c>
      <c r="D6" s="6">
        <v>1.0</v>
      </c>
      <c r="E6" s="6">
        <v>2.0</v>
      </c>
      <c r="F6" s="8">
        <f>IFERROR(D6 / SUMIF(population_edit!A$2:A$1276, A6, population_edit!C$2:C$1276) * 100000, 0)</f>
        <v>1.398444929</v>
      </c>
      <c r="G6" s="8">
        <f>IFERROR(E6 / SUMIF(population_edit!A$2:A$1276, A6, population_edit!D$2:D$1276) * 100000, 0)</f>
        <v>3.014772385</v>
      </c>
      <c r="H6" s="8">
        <f>IFERROR((D6+E6) / (SUMIF(population_edit!A$2:A$1276, A6, population_edit!C$2:C$1276) + SUMIF(population_edit!A$2:A$1276, A6, population_edit!D$2:D$1276)) * 100000, 0)</f>
        <v>2.176310139</v>
      </c>
      <c r="I6" s="9" t="str">
        <f t="shared" si="1"/>
        <v>Средний</v>
      </c>
    </row>
    <row r="7">
      <c r="A7" s="4" t="s">
        <v>26</v>
      </c>
      <c r="B7" s="4" t="s">
        <v>27</v>
      </c>
      <c r="C7" s="4" t="s">
        <v>28</v>
      </c>
      <c r="D7" s="6">
        <v>3.0</v>
      </c>
      <c r="E7" s="6">
        <v>3.0</v>
      </c>
      <c r="F7" s="8">
        <f>IFERROR(D7 / SUMIF(population_edit!A$2:A$1276, A7, population_edit!C$2:C$1276) * 100000, 0)</f>
        <v>3.120968749</v>
      </c>
      <c r="G7" s="8">
        <f>IFERROR(E7 / SUMIF(population_edit!A$2:A$1276, A7, population_edit!D$2:D$1276) * 100000, 0)</f>
        <v>3.259806585</v>
      </c>
      <c r="H7" s="8">
        <f>IFERROR((D7+E7) / (SUMIF(population_edit!A$2:A$1276, A7, population_edit!C$2:C$1276) + SUMIF(population_edit!A$2:A$1276, A7, population_edit!D$2:D$1276)) * 100000, 0)</f>
        <v>3.188877196</v>
      </c>
      <c r="I7" s="9" t="str">
        <f t="shared" si="1"/>
        <v>Высокий</v>
      </c>
    </row>
    <row r="8">
      <c r="A8" s="4" t="s">
        <v>29</v>
      </c>
      <c r="B8" s="4" t="s">
        <v>30</v>
      </c>
      <c r="C8" s="4" t="s">
        <v>31</v>
      </c>
      <c r="D8" s="6">
        <v>1.0</v>
      </c>
      <c r="E8" s="6">
        <v>4.0</v>
      </c>
      <c r="F8" s="8">
        <f>IFERROR(D8 / SUMIF(population_edit!A$2:A$1276, A8, population_edit!C$2:C$1276) * 100000, 0)</f>
        <v>1.15469441</v>
      </c>
      <c r="G8" s="8">
        <f>IFERROR(E8 / SUMIF(population_edit!A$2:A$1276, A8, population_edit!D$2:D$1276) * 100000, 0)</f>
        <v>4.84654623</v>
      </c>
      <c r="H8" s="8">
        <f>IFERROR((D8+E8) / (SUMIF(population_edit!A$2:A$1276, A8, population_edit!C$2:C$1276) + SUMIF(population_edit!A$2:A$1276, A8, population_edit!D$2:D$1276)) * 100000, 0)</f>
        <v>2.956200927</v>
      </c>
      <c r="I8" s="9" t="str">
        <f t="shared" si="1"/>
        <v>Высокий</v>
      </c>
    </row>
    <row r="9">
      <c r="A9" s="4" t="s">
        <v>32</v>
      </c>
      <c r="B9" s="4" t="s">
        <v>33</v>
      </c>
      <c r="C9" s="4" t="s">
        <v>34</v>
      </c>
      <c r="D9" s="6">
        <v>1.0</v>
      </c>
      <c r="E9" s="6">
        <v>1.0</v>
      </c>
      <c r="F9" s="8">
        <f>IFERROR(D9 / SUMIF(population_edit!A$2:A$1276, A9, population_edit!C$2:C$1276) * 100000, 0)</f>
        <v>1.966297658</v>
      </c>
      <c r="G9" s="8">
        <f>IFERROR(E9 / SUMIF(population_edit!A$2:A$1276, A9, population_edit!D$2:D$1276) * 100000, 0)</f>
        <v>2.05837553</v>
      </c>
      <c r="H9" s="8">
        <f>IFERROR((D9+E9) / (SUMIF(population_edit!A$2:A$1276, A9, population_edit!C$2:C$1276) + SUMIF(population_edit!A$2:A$1276, A9, population_edit!D$2:D$1276)) * 100000, 0)</f>
        <v>2.011283299</v>
      </c>
      <c r="I9" s="9" t="str">
        <f t="shared" si="1"/>
        <v>Средний</v>
      </c>
    </row>
    <row r="10">
      <c r="A10" s="4" t="s">
        <v>35</v>
      </c>
      <c r="B10" s="4" t="s">
        <v>36</v>
      </c>
      <c r="C10" s="4" t="s">
        <v>37</v>
      </c>
      <c r="D10" s="6">
        <v>2.0</v>
      </c>
      <c r="E10" s="6">
        <v>2.0</v>
      </c>
      <c r="F10" s="8">
        <f>IFERROR(D10 / SUMIF(population_edit!A$2:A$1276, A10, population_edit!C$2:C$1276) * 100000, 0)</f>
        <v>2.286498228</v>
      </c>
      <c r="G10" s="8">
        <f>IFERROR(E10 / SUMIF(population_edit!A$2:A$1276, A10, population_edit!D$2:D$1276) * 100000, 0)</f>
        <v>2.41295273</v>
      </c>
      <c r="H10" s="8">
        <f>IFERROR((D10+E10) / (SUMIF(population_edit!A$2:A$1276, A10, population_edit!C$2:C$1276) + SUMIF(population_edit!A$2:A$1276, A10, population_edit!D$2:D$1276)) * 100000, 0)</f>
        <v>2.348024138</v>
      </c>
      <c r="I10" s="9" t="str">
        <f t="shared" si="1"/>
        <v>Средний</v>
      </c>
    </row>
    <row r="11">
      <c r="A11" s="4" t="s">
        <v>38</v>
      </c>
      <c r="B11" s="4" t="s">
        <v>39</v>
      </c>
      <c r="C11" s="4" t="s">
        <v>40</v>
      </c>
      <c r="D11" s="6">
        <v>1.0</v>
      </c>
      <c r="E11" s="6">
        <v>1.0</v>
      </c>
      <c r="F11" s="8">
        <f>IFERROR(D11 / SUMIF(population_edit!A$2:A$1276, A11, population_edit!C$2:C$1276) * 100000, 0)</f>
        <v>1.093888445</v>
      </c>
      <c r="G11" s="8">
        <f>IFERROR(E11 / SUMIF(population_edit!A$2:A$1276, A11, population_edit!D$2:D$1276) * 100000, 0)</f>
        <v>1.151118888</v>
      </c>
      <c r="H11" s="8">
        <f>IFERROR((D11+E11) / (SUMIF(population_edit!A$2:A$1276, A11, population_edit!C$2:C$1276) + SUMIF(population_edit!A$2:A$1276, A11, population_edit!D$2:D$1276)) * 100000, 0)</f>
        <v>1.121774198</v>
      </c>
      <c r="I11" s="9" t="str">
        <f t="shared" si="1"/>
        <v>Низкий</v>
      </c>
    </row>
    <row r="12">
      <c r="A12" s="4" t="s">
        <v>41</v>
      </c>
      <c r="B12" s="4" t="s">
        <v>42</v>
      </c>
      <c r="C12" s="4" t="s">
        <v>43</v>
      </c>
      <c r="D12" s="6">
        <v>67.0</v>
      </c>
      <c r="E12" s="6">
        <v>54.0</v>
      </c>
      <c r="F12" s="8">
        <f>IFERROR(D12 / SUMIF(population_edit!A$2:A$1276, A12, population_edit!C$2:C$1276) * 100000, 0)</f>
        <v>6.593430385</v>
      </c>
      <c r="G12" s="8">
        <f>IFERROR(E12 / SUMIF(population_edit!A$2:A$1276, A12, population_edit!D$2:D$1276) * 100000, 0)</f>
        <v>5.680353865</v>
      </c>
      <c r="H12" s="8">
        <f>IFERROR((D12+E12) / (SUMIF(population_edit!A$2:A$1276, A12, population_edit!C$2:C$1276) + SUMIF(population_edit!A$2:A$1276, A12, population_edit!D$2:D$1276)) * 100000, 0)</f>
        <v>6.152100256</v>
      </c>
      <c r="I12" s="9" t="str">
        <f t="shared" si="1"/>
        <v>Высокий</v>
      </c>
    </row>
    <row r="13">
      <c r="A13" s="4" t="s">
        <v>44</v>
      </c>
      <c r="B13" s="4" t="s">
        <v>45</v>
      </c>
      <c r="C13" s="4" t="s">
        <v>46</v>
      </c>
      <c r="D13" s="6">
        <v>20.0</v>
      </c>
      <c r="E13" s="6">
        <v>14.0</v>
      </c>
      <c r="F13" s="8">
        <f>IFERROR(D13 / SUMIF(population_edit!A$2:A$1276, A13, population_edit!C$2:C$1276) * 100000, 0)</f>
        <v>2.536001714</v>
      </c>
      <c r="G13" s="8">
        <f>IFERROR(E13 / SUMIF(population_edit!A$2:A$1276, A13, population_edit!D$2:D$1276) * 100000, 0)</f>
        <v>1.953681014</v>
      </c>
      <c r="H13" s="8">
        <f>IFERROR((D13+E13) / (SUMIF(population_edit!A$2:A$1276, A13, population_edit!C$2:C$1276) + SUMIF(population_edit!A$2:A$1276, A13, population_edit!D$2:D$1276)) * 100000, 0)</f>
        <v>2.25877751</v>
      </c>
      <c r="I13" s="9" t="str">
        <f t="shared" si="1"/>
        <v>Средний</v>
      </c>
    </row>
    <row r="14">
      <c r="A14" s="4" t="s">
        <v>47</v>
      </c>
      <c r="B14" s="4" t="s">
        <v>48</v>
      </c>
      <c r="C14" s="4" t="s">
        <v>49</v>
      </c>
      <c r="D14" s="6">
        <v>2.0</v>
      </c>
      <c r="E14" s="6">
        <v>1.0</v>
      </c>
      <c r="F14" s="8">
        <f>IFERROR(D14 / SUMIF(population_edit!A$2:A$1276, A14, population_edit!C$2:C$1276) * 100000, 0)</f>
        <v>3.633126851</v>
      </c>
      <c r="G14" s="8">
        <f>IFERROR(E14 / SUMIF(population_edit!A$2:A$1276, A14, population_edit!D$2:D$1276) * 100000, 0)</f>
        <v>1.928156875</v>
      </c>
      <c r="H14" s="8">
        <f>IFERROR((D14+E14) / (SUMIF(population_edit!A$2:A$1276, A14, population_edit!C$2:C$1276) + SUMIF(population_edit!A$2:A$1276, A14, population_edit!D$2:D$1276)) * 100000, 0)</f>
        <v>2.806046094</v>
      </c>
      <c r="I14" s="9" t="str">
        <f t="shared" si="1"/>
        <v>Высокий</v>
      </c>
    </row>
    <row r="15">
      <c r="A15" s="4" t="s">
        <v>50</v>
      </c>
      <c r="B15" s="4" t="s">
        <v>51</v>
      </c>
      <c r="C15" s="4" t="s">
        <v>52</v>
      </c>
      <c r="D15" s="6">
        <v>5.0</v>
      </c>
      <c r="E15" s="6">
        <v>2.0</v>
      </c>
      <c r="F15" s="8">
        <f>IFERROR(D15 / SUMIF(population_edit!A$2:A$1276, A15, population_edit!C$2:C$1276) * 100000, 0)</f>
        <v>6.038574413</v>
      </c>
      <c r="G15" s="8">
        <f>IFERROR(E15 / SUMIF(population_edit!A$2:A$1276, A15, population_edit!D$2:D$1276) * 100000, 0)</f>
        <v>2.550434849</v>
      </c>
      <c r="H15" s="8">
        <f>IFERROR((D15+E15) / (SUMIF(population_edit!A$2:A$1276, A15, population_edit!C$2:C$1276) + SUMIF(population_edit!A$2:A$1276, A15, population_edit!D$2:D$1276)) * 100000, 0)</f>
        <v>4.341919997</v>
      </c>
      <c r="I15" s="9" t="str">
        <f t="shared" si="1"/>
        <v>Высокий</v>
      </c>
    </row>
    <row r="16">
      <c r="A16" s="4" t="s">
        <v>53</v>
      </c>
      <c r="B16" s="4" t="s">
        <v>54</v>
      </c>
      <c r="C16" s="4" t="s">
        <v>55</v>
      </c>
      <c r="D16" s="6">
        <v>1.0</v>
      </c>
      <c r="E16" s="6">
        <v>2.0</v>
      </c>
      <c r="F16" s="8">
        <f>IFERROR(D16 / SUMIF(population_edit!A$2:A$1276, A16, population_edit!C$2:C$1276) * 100000, 0)</f>
        <v>1.509092281</v>
      </c>
      <c r="G16" s="8">
        <f>IFERROR(E16 / SUMIF(population_edit!A$2:A$1276, A16, population_edit!D$2:D$1276) * 100000, 0)</f>
        <v>3.193306829</v>
      </c>
      <c r="H16" s="8">
        <f>IFERROR((D16+E16) / (SUMIF(population_edit!A$2:A$1276, A16, population_edit!C$2:C$1276) + SUMIF(population_edit!A$2:A$1276, A16, population_edit!D$2:D$1276)) * 100000, 0)</f>
        <v>2.327457795</v>
      </c>
      <c r="I16" s="9" t="str">
        <f t="shared" si="1"/>
        <v>Средний</v>
      </c>
    </row>
    <row r="17">
      <c r="A17" s="4" t="s">
        <v>56</v>
      </c>
      <c r="B17" s="4" t="s">
        <v>57</v>
      </c>
      <c r="C17" s="4" t="s">
        <v>58</v>
      </c>
      <c r="D17" s="6">
        <v>2.0</v>
      </c>
      <c r="E17" s="6">
        <v>2.0</v>
      </c>
      <c r="F17" s="8">
        <f>IFERROR(D17 / SUMIF(population_edit!A$2:A$1276, A17, population_edit!C$2:C$1276) * 100000, 0)</f>
        <v>3.037713209</v>
      </c>
      <c r="G17" s="8">
        <f>IFERROR(E17 / SUMIF(population_edit!A$2:A$1276, A17, population_edit!D$2:D$1276) * 100000, 0)</f>
        <v>3.224142378</v>
      </c>
      <c r="H17" s="8">
        <f>IFERROR((D17+E17) / (SUMIF(population_edit!A$2:A$1276, A17, population_edit!C$2:C$1276) + SUMIF(population_edit!A$2:A$1276, A17, population_edit!D$2:D$1276)) * 100000, 0)</f>
        <v>3.128152591</v>
      </c>
      <c r="I17" s="9" t="str">
        <f t="shared" si="1"/>
        <v>Высокий</v>
      </c>
    </row>
    <row r="18">
      <c r="A18" s="4" t="s">
        <v>59</v>
      </c>
      <c r="B18" s="4" t="s">
        <v>60</v>
      </c>
      <c r="C18" s="4" t="s">
        <v>61</v>
      </c>
      <c r="D18" s="6">
        <v>2.0</v>
      </c>
      <c r="E18" s="6">
        <v>2.0</v>
      </c>
      <c r="F18" s="8">
        <f>IFERROR(D18 / SUMIF(population_edit!A$2:A$1276, A18, population_edit!C$2:C$1276) * 100000, 0)</f>
        <v>1.920122888</v>
      </c>
      <c r="G18" s="8">
        <f>IFERROR(E18 / SUMIF(population_edit!A$2:A$1276, A18, population_edit!D$2:D$1276) * 100000, 0)</f>
        <v>2.023328983</v>
      </c>
      <c r="H18" s="8">
        <f>IFERROR((D18+E18) / (SUMIF(population_edit!A$2:A$1276, A18, population_edit!C$2:C$1276) + SUMIF(population_edit!A$2:A$1276, A18, population_edit!D$2:D$1276)) * 100000, 0)</f>
        <v>1.970375406</v>
      </c>
      <c r="I18" s="9" t="str">
        <f t="shared" si="1"/>
        <v>Средний</v>
      </c>
    </row>
    <row r="19">
      <c r="A19" s="4" t="s">
        <v>62</v>
      </c>
      <c r="B19" s="4" t="s">
        <v>63</v>
      </c>
      <c r="C19" s="4" t="s">
        <v>64</v>
      </c>
      <c r="D19" s="6">
        <v>3.0</v>
      </c>
      <c r="E19" s="6">
        <v>2.0</v>
      </c>
      <c r="F19" s="8">
        <f>IFERROR(D19 / SUMIF(population_edit!A$2:A$1276, A19, population_edit!C$2:C$1276) * 100000, 0)</f>
        <v>2.933755794</v>
      </c>
      <c r="G19" s="8">
        <f>IFERROR(E19 / SUMIF(population_edit!A$2:A$1276, A19, population_edit!D$2:D$1276) * 100000, 0)</f>
        <v>2.073312324</v>
      </c>
      <c r="H19" s="8">
        <f>IFERROR((D19+E19) / (SUMIF(population_edit!A$2:A$1276, A19, population_edit!C$2:C$1276) + SUMIF(population_edit!A$2:A$1276, A19, population_edit!D$2:D$1276)) * 100000, 0)</f>
        <v>2.516077737</v>
      </c>
      <c r="I19" s="9" t="str">
        <f t="shared" si="1"/>
        <v>Средний</v>
      </c>
    </row>
    <row r="20">
      <c r="A20" s="4" t="s">
        <v>65</v>
      </c>
      <c r="B20" s="4" t="s">
        <v>66</v>
      </c>
      <c r="C20" s="4" t="s">
        <v>67</v>
      </c>
      <c r="D20" s="6">
        <v>0.0</v>
      </c>
      <c r="E20" s="6">
        <v>0.0</v>
      </c>
      <c r="F20" s="8">
        <f>IFERROR(D20 / SUMIF(population_edit!A$2:A$1276, A20, population_edit!C$2:C$1276) * 100000, 0)</f>
        <v>0</v>
      </c>
      <c r="G20" s="8">
        <f>IFERROR(E20 / SUMIF(population_edit!A$2:A$1276, A20, population_edit!D$2:D$1276) * 100000, 0)</f>
        <v>0</v>
      </c>
      <c r="H20" s="8">
        <f>IFERROR((D20+E20) / (SUMIF(population_edit!A$2:A$1276, A20, population_edit!C$2:C$1276) + SUMIF(population_edit!A$2:A$1276, A20, population_edit!D$2:D$1276)) * 100000, 0)</f>
        <v>0</v>
      </c>
      <c r="I20" s="9" t="str">
        <f t="shared" si="1"/>
        <v>Низкий</v>
      </c>
    </row>
    <row r="21">
      <c r="A21" s="4" t="s">
        <v>68</v>
      </c>
      <c r="B21" s="4" t="s">
        <v>69</v>
      </c>
      <c r="C21" s="4" t="s">
        <v>70</v>
      </c>
      <c r="D21" s="6">
        <v>0.0</v>
      </c>
      <c r="E21" s="6">
        <v>0.0</v>
      </c>
      <c r="F21" s="8">
        <f>IFERROR(D21 / SUMIF(population_edit!A$2:A$1276, A21, population_edit!C$2:C$1276) * 100000, 0)</f>
        <v>0</v>
      </c>
      <c r="G21" s="8">
        <f>IFERROR(E21 / SUMIF(population_edit!A$2:A$1276, A21, population_edit!D$2:D$1276) * 100000, 0)</f>
        <v>0</v>
      </c>
      <c r="H21" s="8">
        <f>IFERROR((D21+E21) / (SUMIF(population_edit!A$2:A$1276, A21, population_edit!C$2:C$1276) + SUMIF(population_edit!A$2:A$1276, A21, population_edit!D$2:D$1276)) * 100000, 0)</f>
        <v>0</v>
      </c>
      <c r="I21" s="9" t="str">
        <f t="shared" si="1"/>
        <v>Низкий</v>
      </c>
    </row>
    <row r="22">
      <c r="A22" s="4" t="s">
        <v>71</v>
      </c>
      <c r="B22" s="4" t="s">
        <v>72</v>
      </c>
      <c r="C22" s="4" t="s">
        <v>73</v>
      </c>
      <c r="D22" s="6">
        <v>2.0</v>
      </c>
      <c r="E22" s="6">
        <v>1.0</v>
      </c>
      <c r="F22" s="8">
        <f>IFERROR(D22 / SUMIF(population_edit!A$2:A$1276, A22, population_edit!C$2:C$1276) * 100000, 0)</f>
        <v>1.922762625</v>
      </c>
      <c r="G22" s="8">
        <f>IFERROR(E22 / SUMIF(population_edit!A$2:A$1276, A22, population_edit!D$2:D$1276) * 100000, 0)</f>
        <v>1.006532395</v>
      </c>
      <c r="H22" s="8">
        <f>IFERROR((D22+E22) / (SUMIF(population_edit!A$2:A$1276, A22, population_edit!C$2:C$1276) + SUMIF(population_edit!A$2:A$1276, A22, population_edit!D$2:D$1276)) * 100000, 0)</f>
        <v>1.475158334</v>
      </c>
      <c r="I22" s="9" t="str">
        <f t="shared" si="1"/>
        <v>Низкий</v>
      </c>
    </row>
    <row r="23">
      <c r="A23" s="4" t="s">
        <v>74</v>
      </c>
      <c r="B23" s="4" t="s">
        <v>75</v>
      </c>
      <c r="C23" s="4" t="s">
        <v>76</v>
      </c>
      <c r="D23" s="6">
        <v>2.0</v>
      </c>
      <c r="E23" s="6">
        <v>1.0</v>
      </c>
      <c r="F23" s="8">
        <f>IFERROR(D23 / SUMIF(population_edit!A$2:A$1276, A23, population_edit!C$2:C$1276) * 100000, 0)</f>
        <v>2.262392254</v>
      </c>
      <c r="G23" s="8">
        <f>IFERROR(E23 / SUMIF(population_edit!A$2:A$1276, A23, population_edit!D$2:D$1276) * 100000, 0)</f>
        <v>1.200249652</v>
      </c>
      <c r="H23" s="8">
        <f>IFERROR((D23+E23) / (SUMIF(population_edit!A$2:A$1276, A23, population_edit!C$2:C$1276) + SUMIF(population_edit!A$2:A$1276, A23, population_edit!D$2:D$1276)) * 100000, 0)</f>
        <v>1.747050397</v>
      </c>
      <c r="I23" s="9" t="str">
        <f t="shared" si="1"/>
        <v>Низкий</v>
      </c>
    </row>
    <row r="24">
      <c r="A24" s="4" t="s">
        <v>77</v>
      </c>
      <c r="B24" s="4" t="s">
        <v>78</v>
      </c>
      <c r="C24" s="4" t="s">
        <v>79</v>
      </c>
      <c r="D24" s="6">
        <v>14.0</v>
      </c>
      <c r="E24" s="6">
        <v>12.0</v>
      </c>
      <c r="F24" s="8">
        <f>IFERROR(D24 / SUMIF(population_edit!A$2:A$1276, A24, population_edit!C$2:C$1276) * 100000, 0)</f>
        <v>3.400897837</v>
      </c>
      <c r="G24" s="8">
        <f>IFERROR(E24 / SUMIF(population_edit!A$2:A$1276, A24, population_edit!D$2:D$1276) * 100000, 0)</f>
        <v>3.064507891</v>
      </c>
      <c r="H24" s="8">
        <f>IFERROR((D24+E24) / (SUMIF(population_edit!A$2:A$1276, A24, population_edit!C$2:C$1276) + SUMIF(population_edit!A$2:A$1276, A24, population_edit!D$2:D$1276)) * 100000, 0)</f>
        <v>3.236906712</v>
      </c>
      <c r="I24" s="9" t="str">
        <f t="shared" si="1"/>
        <v>Высокий</v>
      </c>
    </row>
    <row r="25">
      <c r="A25" s="4" t="s">
        <v>80</v>
      </c>
      <c r="B25" s="4" t="s">
        <v>81</v>
      </c>
      <c r="C25" s="4" t="s">
        <v>82</v>
      </c>
      <c r="D25" s="6">
        <v>7.0</v>
      </c>
      <c r="E25" s="6">
        <v>0.0</v>
      </c>
      <c r="F25" s="8">
        <f>IFERROR(D25 / SUMIF(population_edit!A$2:A$1276, A25, population_edit!C$2:C$1276) * 100000, 0)</f>
        <v>5.079899563</v>
      </c>
      <c r="G25" s="8">
        <f>IFERROR(E25 / SUMIF(population_edit!A$2:A$1276, A25, population_edit!D$2:D$1276) * 100000, 0)</f>
        <v>0</v>
      </c>
      <c r="H25" s="8">
        <f>IFERROR((D25+E25) / (SUMIF(population_edit!A$2:A$1276, A25, population_edit!C$2:C$1276) + SUMIF(population_edit!A$2:A$1276, A25, population_edit!D$2:D$1276)) * 100000, 0)</f>
        <v>2.610537622</v>
      </c>
      <c r="I25" s="9" t="str">
        <f t="shared" si="1"/>
        <v>Высокий</v>
      </c>
    </row>
    <row r="26">
      <c r="A26" s="4" t="s">
        <v>83</v>
      </c>
      <c r="B26" s="4" t="s">
        <v>84</v>
      </c>
      <c r="C26" s="4" t="s">
        <v>85</v>
      </c>
      <c r="D26" s="6">
        <v>2.0</v>
      </c>
      <c r="E26" s="6">
        <v>1.0</v>
      </c>
      <c r="F26" s="8">
        <f>IFERROR(D26 / SUMIF(population_edit!A$2:A$1276, A26, population_edit!C$2:C$1276) * 100000, 0)</f>
        <v>3.300547891</v>
      </c>
      <c r="G26" s="8">
        <f>IFERROR(E26 / SUMIF(population_edit!A$2:A$1276, A26, population_edit!D$2:D$1276) * 100000, 0)</f>
        <v>1.747976717</v>
      </c>
      <c r="H26" s="8">
        <f>IFERROR((D26+E26) / (SUMIF(population_edit!A$2:A$1276, A26, population_edit!C$2:C$1276) + SUMIF(population_edit!A$2:A$1276, A26, population_edit!D$2:D$1276)) * 100000, 0)</f>
        <v>2.546581215</v>
      </c>
      <c r="I26" s="9" t="str">
        <f t="shared" si="1"/>
        <v>Средний</v>
      </c>
    </row>
    <row r="27">
      <c r="A27" s="4" t="s">
        <v>86</v>
      </c>
      <c r="B27" s="4" t="s">
        <v>87</v>
      </c>
      <c r="C27" s="4" t="s">
        <v>88</v>
      </c>
      <c r="D27" s="6">
        <v>2.0</v>
      </c>
      <c r="E27" s="6">
        <v>1.0</v>
      </c>
      <c r="F27" s="8">
        <f>IFERROR(D27 / SUMIF(population_edit!A$2:A$1276, A27, population_edit!C$2:C$1276) * 100000, 0)</f>
        <v>4.052931283</v>
      </c>
      <c r="G27" s="8">
        <f>IFERROR(E27 / SUMIF(population_edit!A$2:A$1276, A27, population_edit!D$2:D$1276) * 100000, 0)</f>
        <v>2.174338458</v>
      </c>
      <c r="H27" s="8">
        <f>IFERROR((D27+E27) / (SUMIF(population_edit!A$2:A$1276, A27, population_edit!C$2:C$1276) + SUMIF(population_edit!A$2:A$1276, A27, population_edit!D$2:D$1276)) * 100000, 0)</f>
        <v>3.146699113</v>
      </c>
      <c r="I27" s="9" t="str">
        <f t="shared" si="1"/>
        <v>Высокий</v>
      </c>
    </row>
    <row r="28">
      <c r="A28" s="4" t="s">
        <v>89</v>
      </c>
      <c r="B28" s="4" t="s">
        <v>90</v>
      </c>
      <c r="C28" s="4" t="s">
        <v>91</v>
      </c>
      <c r="D28" s="6">
        <v>1.0</v>
      </c>
      <c r="E28" s="6">
        <v>1.0</v>
      </c>
      <c r="F28" s="8">
        <f>IFERROR(D28 / SUMIF(population_edit!A$2:A$1276, A28, population_edit!C$2:C$1276) * 100000, 0)</f>
        <v>2.155962314</v>
      </c>
      <c r="G28" s="8">
        <f>IFERROR(E28 / SUMIF(population_edit!A$2:A$1276, A28, population_edit!D$2:D$1276) * 100000, 0)</f>
        <v>2.273709102</v>
      </c>
      <c r="H28" s="8">
        <f>IFERROR((D28+E28) / (SUMIF(population_edit!A$2:A$1276, A28, population_edit!C$2:C$1276) + SUMIF(population_edit!A$2:A$1276, A28, population_edit!D$2:D$1276)) * 100000, 0)</f>
        <v>2.213270772</v>
      </c>
      <c r="I28" s="9" t="str">
        <f t="shared" si="1"/>
        <v>Средний</v>
      </c>
    </row>
    <row r="29">
      <c r="A29" s="4" t="s">
        <v>92</v>
      </c>
      <c r="B29" s="4" t="s">
        <v>93</v>
      </c>
      <c r="C29" s="4" t="s">
        <v>94</v>
      </c>
      <c r="D29" s="6">
        <v>2.0</v>
      </c>
      <c r="E29" s="6">
        <v>0.0</v>
      </c>
      <c r="F29" s="8">
        <f>IFERROR(D29 / SUMIF(population_edit!A$2:A$1276, A29, population_edit!C$2:C$1276) * 100000, 0)</f>
        <v>4.625667831</v>
      </c>
      <c r="G29" s="8">
        <f>IFERROR(E29 / SUMIF(population_edit!A$2:A$1276, A29, population_edit!D$2:D$1276) * 100000, 0)</f>
        <v>0</v>
      </c>
      <c r="H29" s="8">
        <f>IFERROR((D29+E29) / (SUMIF(population_edit!A$2:A$1276, A29, population_edit!C$2:C$1276) + SUMIF(population_edit!A$2:A$1276, A29, population_edit!D$2:D$1276)) * 100000, 0)</f>
        <v>2.357684282</v>
      </c>
      <c r="I29" s="9" t="str">
        <f t="shared" si="1"/>
        <v>Средний</v>
      </c>
    </row>
    <row r="30">
      <c r="A30" s="4" t="s">
        <v>95</v>
      </c>
      <c r="B30" s="4" t="s">
        <v>96</v>
      </c>
      <c r="C30" s="4" t="s">
        <v>97</v>
      </c>
      <c r="D30" s="6">
        <v>0.0</v>
      </c>
      <c r="E30" s="6">
        <v>0.0</v>
      </c>
      <c r="F30" s="8">
        <f>IFERROR(D30 / SUMIF(population_edit!A$2:A$1276, A30, population_edit!C$2:C$1276) * 100000, 0)</f>
        <v>0</v>
      </c>
      <c r="G30" s="8">
        <f>IFERROR(E30 / SUMIF(population_edit!A$2:A$1276, A30, population_edit!D$2:D$1276) * 100000, 0)</f>
        <v>0</v>
      </c>
      <c r="H30" s="8">
        <f>IFERROR((D30+E30) / (SUMIF(population_edit!A$2:A$1276, A30, population_edit!C$2:C$1276) + SUMIF(population_edit!A$2:A$1276, A30, population_edit!D$2:D$1276)) * 100000, 0)</f>
        <v>0</v>
      </c>
      <c r="I30" s="9" t="str">
        <f t="shared" si="1"/>
        <v>Низкий</v>
      </c>
    </row>
    <row r="31">
      <c r="A31" s="4" t="s">
        <v>98</v>
      </c>
      <c r="B31" s="4" t="s">
        <v>99</v>
      </c>
      <c r="C31" s="4" t="s">
        <v>100</v>
      </c>
      <c r="D31" s="6">
        <v>26.0</v>
      </c>
      <c r="E31" s="6">
        <v>11.0</v>
      </c>
      <c r="F31" s="8">
        <f>IFERROR(D31 / SUMIF(population_edit!A$2:A$1276, A31, population_edit!C$2:C$1276) * 100000, 0)</f>
        <v>4.853245328</v>
      </c>
      <c r="G31" s="8">
        <f>IFERROR(E31 / SUMIF(population_edit!A$2:A$1276, A31, population_edit!D$2:D$1276) * 100000, 0)</f>
        <v>2.173577986</v>
      </c>
      <c r="H31" s="8">
        <f>IFERROR((D31+E31) / (SUMIF(population_edit!A$2:A$1276, A31, population_edit!C$2:C$1276) + SUMIF(population_edit!A$2:A$1276, A31, population_edit!D$2:D$1276)) * 100000, 0)</f>
        <v>3.551538584</v>
      </c>
      <c r="I31" s="9" t="str">
        <f t="shared" si="1"/>
        <v>Высокий</v>
      </c>
    </row>
    <row r="32">
      <c r="A32" s="4" t="s">
        <v>101</v>
      </c>
      <c r="B32" s="4" t="s">
        <v>102</v>
      </c>
      <c r="C32" s="4" t="s">
        <v>103</v>
      </c>
      <c r="D32" s="6">
        <v>1.0</v>
      </c>
      <c r="E32" s="6">
        <v>1.0</v>
      </c>
      <c r="F32" s="8">
        <f>IFERROR(D32 / SUMIF(population_edit!A$2:A$1276, A32, population_edit!C$2:C$1276) * 100000, 0)</f>
        <v>1.02951623</v>
      </c>
      <c r="G32" s="8">
        <f>IFERROR(E32 / SUMIF(population_edit!A$2:A$1276, A32, population_edit!D$2:D$1276) * 100000, 0)</f>
        <v>1.081466902</v>
      </c>
      <c r="H32" s="8">
        <f>IFERROR((D32+E32) / (SUMIF(population_edit!A$2:A$1276, A32, population_edit!C$2:C$1276) + SUMIF(population_edit!A$2:A$1276, A32, population_edit!D$2:D$1276)) * 100000, 0)</f>
        <v>1.054852321</v>
      </c>
      <c r="I32" s="9" t="str">
        <f t="shared" si="1"/>
        <v>Низкий</v>
      </c>
    </row>
    <row r="33">
      <c r="A33" s="4" t="s">
        <v>104</v>
      </c>
      <c r="B33" s="4" t="s">
        <v>105</v>
      </c>
      <c r="C33" s="4" t="s">
        <v>106</v>
      </c>
      <c r="D33" s="6">
        <v>5.0</v>
      </c>
      <c r="E33" s="6">
        <v>2.0</v>
      </c>
      <c r="F33" s="8">
        <f>IFERROR(D33 / SUMIF(population_edit!A$2:A$1276, A33, population_edit!C$2:C$1276) * 100000, 0)</f>
        <v>2.594545228</v>
      </c>
      <c r="G33" s="8">
        <f>IFERROR(E33 / SUMIF(population_edit!A$2:A$1276, A33, population_edit!D$2:D$1276) * 100000, 0)</f>
        <v>1.098339859</v>
      </c>
      <c r="H33" s="8">
        <f>IFERROR((D33+E33) / (SUMIF(population_edit!A$2:A$1276, A33, population_edit!C$2:C$1276) + SUMIF(population_edit!A$2:A$1276, A33, population_edit!D$2:D$1276)) * 100000, 0)</f>
        <v>1.867637838</v>
      </c>
      <c r="I33" s="9" t="str">
        <f t="shared" si="1"/>
        <v>Средний</v>
      </c>
    </row>
    <row r="34">
      <c r="A34" s="4" t="s">
        <v>107</v>
      </c>
      <c r="B34" s="4" t="s">
        <v>108</v>
      </c>
      <c r="C34" s="4" t="s">
        <v>109</v>
      </c>
      <c r="D34" s="6">
        <v>6.0</v>
      </c>
      <c r="E34" s="6">
        <v>7.0</v>
      </c>
      <c r="F34" s="8">
        <f>IFERROR(D34 / SUMIF(population_edit!A$2:A$1276, A34, population_edit!C$2:C$1276) * 100000, 0)</f>
        <v>1.768013107</v>
      </c>
      <c r="G34" s="8">
        <f>IFERROR(E34 / SUMIF(population_edit!A$2:A$1276, A34, population_edit!D$2:D$1276) * 100000, 0)</f>
        <v>2.183038415</v>
      </c>
      <c r="H34" s="8">
        <f>IFERROR((D34+E34) / (SUMIF(population_edit!A$2:A$1276, A34, population_edit!C$2:C$1276) + SUMIF(population_edit!A$2:A$1276, A34, population_edit!D$2:D$1276)) * 100000, 0)</f>
        <v>1.969643252</v>
      </c>
      <c r="I34" s="9" t="str">
        <f t="shared" si="1"/>
        <v>Средний</v>
      </c>
    </row>
    <row r="35">
      <c r="A35" s="4" t="s">
        <v>110</v>
      </c>
      <c r="B35" s="4" t="s">
        <v>111</v>
      </c>
      <c r="C35" s="4" t="s">
        <v>112</v>
      </c>
      <c r="D35" s="6">
        <v>3.0</v>
      </c>
      <c r="E35" s="6">
        <v>0.0</v>
      </c>
      <c r="F35" s="8">
        <f>IFERROR(D35 / SUMIF(population_edit!A$2:A$1276, A35, population_edit!C$2:C$1276) * 100000, 0)</f>
        <v>6.340886033</v>
      </c>
      <c r="G35" s="8">
        <f>IFERROR(E35 / SUMIF(population_edit!A$2:A$1276, A35, population_edit!D$2:D$1276) * 100000, 0)</f>
        <v>0</v>
      </c>
      <c r="H35" s="8">
        <f>IFERROR((D35+E35) / (SUMIF(population_edit!A$2:A$1276, A35, population_edit!C$2:C$1276) + SUMIF(population_edit!A$2:A$1276, A35, population_edit!D$2:D$1276)) * 100000, 0)</f>
        <v>3.244856902</v>
      </c>
      <c r="I35" s="9" t="str">
        <f t="shared" si="1"/>
        <v>Высокий</v>
      </c>
    </row>
    <row r="36">
      <c r="A36" s="4" t="s">
        <v>113</v>
      </c>
      <c r="B36" s="4" t="s">
        <v>114</v>
      </c>
      <c r="C36" s="4" t="s">
        <v>115</v>
      </c>
      <c r="D36" s="6">
        <v>0.0</v>
      </c>
      <c r="E36" s="6">
        <v>0.0</v>
      </c>
      <c r="F36" s="8">
        <f>IFERROR(D36 / SUMIF(population_edit!A$2:A$1276, A36, population_edit!C$2:C$1276) * 100000, 0)</f>
        <v>0</v>
      </c>
      <c r="G36" s="8">
        <f>IFERROR(E36 / SUMIF(population_edit!A$2:A$1276, A36, population_edit!D$2:D$1276) * 100000, 0)</f>
        <v>0</v>
      </c>
      <c r="H36" s="8">
        <f>IFERROR((D36+E36) / (SUMIF(population_edit!A$2:A$1276, A36, population_edit!C$2:C$1276) + SUMIF(population_edit!A$2:A$1276, A36, population_edit!D$2:D$1276)) * 100000, 0)</f>
        <v>0</v>
      </c>
      <c r="I36" s="9" t="str">
        <f t="shared" si="1"/>
        <v>Низкий</v>
      </c>
    </row>
    <row r="37">
      <c r="A37" s="4" t="s">
        <v>116</v>
      </c>
      <c r="B37" s="4" t="s">
        <v>117</v>
      </c>
      <c r="C37" s="4" t="s">
        <v>118</v>
      </c>
      <c r="D37" s="6">
        <v>4.0</v>
      </c>
      <c r="E37" s="6">
        <v>2.0</v>
      </c>
      <c r="F37" s="8">
        <f>IFERROR(D37 / SUMIF(population_edit!A$2:A$1276, A37, population_edit!C$2:C$1276) * 100000, 0)</f>
        <v>2.347238767</v>
      </c>
      <c r="G37" s="8">
        <f>IFERROR(E37 / SUMIF(population_edit!A$2:A$1276, A37, population_edit!D$2:D$1276) * 100000, 0)</f>
        <v>1.207802404</v>
      </c>
      <c r="H37" s="8">
        <f>IFERROR((D37+E37) / (SUMIF(population_edit!A$2:A$1276, A37, population_edit!C$2:C$1276) + SUMIF(population_edit!A$2:A$1276, A37, population_edit!D$2:D$1276)) * 100000, 0)</f>
        <v>1.785698342</v>
      </c>
      <c r="I37" s="9" t="str">
        <f t="shared" si="1"/>
        <v>Низкий</v>
      </c>
    </row>
    <row r="38">
      <c r="A38" s="4" t="s">
        <v>119</v>
      </c>
      <c r="B38" s="4" t="s">
        <v>120</v>
      </c>
      <c r="C38" s="4" t="s">
        <v>121</v>
      </c>
      <c r="D38" s="6">
        <v>2.0</v>
      </c>
      <c r="E38" s="6">
        <v>0.0</v>
      </c>
      <c r="F38" s="8">
        <f>IFERROR(D38 / SUMIF(population_edit!A$2:A$1276, A38, population_edit!C$2:C$1276) * 100000, 0)</f>
        <v>4.399956</v>
      </c>
      <c r="G38" s="8">
        <f>IFERROR(E38 / SUMIF(population_edit!A$2:A$1276, A38, population_edit!D$2:D$1276) * 100000, 0)</f>
        <v>0</v>
      </c>
      <c r="H38" s="8">
        <f>IFERROR((D38+E38) / (SUMIF(population_edit!A$2:A$1276, A38, population_edit!C$2:C$1276) + SUMIF(population_edit!A$2:A$1276, A38, population_edit!D$2:D$1276)) * 100000, 0)</f>
        <v>2.265672792</v>
      </c>
      <c r="I38" s="9" t="str">
        <f t="shared" si="1"/>
        <v>Средний</v>
      </c>
    </row>
    <row r="39">
      <c r="A39" s="4" t="s">
        <v>122</v>
      </c>
      <c r="B39" s="4" t="s">
        <v>123</v>
      </c>
      <c r="C39" s="4" t="s">
        <v>124</v>
      </c>
      <c r="D39" s="6">
        <v>6.0</v>
      </c>
      <c r="E39" s="6">
        <v>8.0</v>
      </c>
      <c r="F39" s="8">
        <f>IFERROR(D39 / SUMIF(population_edit!A$2:A$1276, A39, population_edit!C$2:C$1276) * 100000, 0)</f>
        <v>2.346453922</v>
      </c>
      <c r="G39" s="8">
        <f>IFERROR(E39 / SUMIF(population_edit!A$2:A$1276, A39, population_edit!D$2:D$1276) * 100000, 0)</f>
        <v>3.311066412</v>
      </c>
      <c r="H39" s="8">
        <f>IFERROR((D39+E39) / (SUMIF(population_edit!A$2:A$1276, A39, population_edit!C$2:C$1276) + SUMIF(population_edit!A$2:A$1276, A39, population_edit!D$2:D$1276)) * 100000, 0)</f>
        <v>2.815094537</v>
      </c>
      <c r="I39" s="9" t="str">
        <f t="shared" si="1"/>
        <v>Высокий</v>
      </c>
    </row>
    <row r="40">
      <c r="A40" s="4" t="s">
        <v>125</v>
      </c>
      <c r="B40" s="4" t="s">
        <v>126</v>
      </c>
      <c r="C40" s="4" t="s">
        <v>127</v>
      </c>
      <c r="D40" s="6">
        <v>2.0</v>
      </c>
      <c r="E40" s="6">
        <v>1.0</v>
      </c>
      <c r="F40" s="8">
        <f>IFERROR(D40 / SUMIF(population_edit!A$2:A$1276, A40, population_edit!C$2:C$1276) * 100000, 0)</f>
        <v>2.883464771</v>
      </c>
      <c r="G40" s="8">
        <f>IFERROR(E40 / SUMIF(population_edit!A$2:A$1276, A40, population_edit!D$2:D$1276) * 100000, 0)</f>
        <v>1.518487586</v>
      </c>
      <c r="H40" s="8">
        <f>IFERROR((D40+E40) / (SUMIF(population_edit!A$2:A$1276, A40, population_edit!C$2:C$1276) + SUMIF(population_edit!A$2:A$1276, A40, population_edit!D$2:D$1276)) * 100000, 0)</f>
        <v>2.218672346</v>
      </c>
      <c r="I40" s="9" t="str">
        <f t="shared" si="1"/>
        <v>Средний</v>
      </c>
    </row>
    <row r="41">
      <c r="A41" s="4" t="s">
        <v>128</v>
      </c>
      <c r="B41" s="4" t="s">
        <v>129</v>
      </c>
      <c r="C41" s="4" t="s">
        <v>130</v>
      </c>
      <c r="D41" s="6">
        <v>7.0</v>
      </c>
      <c r="E41" s="6">
        <v>8.0</v>
      </c>
      <c r="F41" s="8">
        <f>IFERROR(D41 / SUMIF(population_edit!A$2:A$1276, A41, population_edit!C$2:C$1276) * 100000, 0)</f>
        <v>1.779775647</v>
      </c>
      <c r="G41" s="8">
        <f>IFERROR(E41 / SUMIF(population_edit!A$2:A$1276, A41, population_edit!D$2:D$1276) * 100000, 0)</f>
        <v>2.18934555</v>
      </c>
      <c r="H41" s="8">
        <f>IFERROR((D41+E41) / (SUMIF(population_edit!A$2:A$1276, A41, population_edit!C$2:C$1276) + SUMIF(population_edit!A$2:A$1276, A41, population_edit!D$2:D$1276)) * 100000, 0)</f>
        <v>1.977029553</v>
      </c>
      <c r="I41" s="9" t="str">
        <f t="shared" si="1"/>
        <v>Средний</v>
      </c>
    </row>
    <row r="42">
      <c r="A42" s="4" t="s">
        <v>131</v>
      </c>
      <c r="B42" s="4" t="s">
        <v>132</v>
      </c>
      <c r="C42" s="4" t="s">
        <v>133</v>
      </c>
      <c r="D42" s="6">
        <v>4.0</v>
      </c>
      <c r="E42" s="6">
        <v>2.0</v>
      </c>
      <c r="F42" s="8">
        <f>IFERROR(D42 / SUMIF(population_edit!A$2:A$1276, A42, population_edit!C$2:C$1276) * 100000, 0)</f>
        <v>4.199739616</v>
      </c>
      <c r="G42" s="8">
        <f>IFERROR(E42 / SUMIF(population_edit!A$2:A$1276, A42, population_edit!D$2:D$1276) * 100000, 0)</f>
        <v>2.19218923</v>
      </c>
      <c r="H42" s="8">
        <f>IFERROR((D42+E42) / (SUMIF(population_edit!A$2:A$1276, A42, population_edit!C$2:C$1276) + SUMIF(population_edit!A$2:A$1276, A42, population_edit!D$2:D$1276)) * 100000, 0)</f>
        <v>3.21755498</v>
      </c>
      <c r="I42" s="9" t="str">
        <f t="shared" si="1"/>
        <v>Высокий</v>
      </c>
    </row>
    <row r="43">
      <c r="A43" s="4" t="s">
        <v>379</v>
      </c>
      <c r="B43" s="4" t="s">
        <v>135</v>
      </c>
      <c r="C43" s="4" t="s">
        <v>136</v>
      </c>
      <c r="D43" s="6">
        <v>2.0</v>
      </c>
      <c r="E43" s="6">
        <v>0.0</v>
      </c>
      <c r="F43" s="8">
        <f>IFERROR(D43 / SUMIF(population_edit!A$2:A$1276, A43, population_edit!C$2:C$1276) * 100000, 0)</f>
        <v>0</v>
      </c>
      <c r="G43" s="8">
        <f>IFERROR(E43 / SUMIF(population_edit!A$2:A$1276, A43, population_edit!D$2:D$1276) * 100000, 0)</f>
        <v>0</v>
      </c>
      <c r="H43" s="8">
        <f>IFERROR((D43+E43) / (SUMIF(population_edit!A$2:A$1276, A43, population_edit!C$2:C$1276) + SUMIF(population_edit!A$2:A$1276, A43, population_edit!D$2:D$1276)) * 100000, 0)</f>
        <v>0</v>
      </c>
      <c r="I43" s="9" t="str">
        <f t="shared" si="1"/>
        <v>Низкий</v>
      </c>
    </row>
    <row r="44">
      <c r="A44" s="4" t="s">
        <v>137</v>
      </c>
      <c r="B44" s="4" t="s">
        <v>138</v>
      </c>
      <c r="C44" s="4" t="s">
        <v>139</v>
      </c>
      <c r="D44" s="6">
        <v>3.0</v>
      </c>
      <c r="E44" s="6">
        <v>0.0</v>
      </c>
      <c r="F44" s="8">
        <f>IFERROR(D44 / SUMIF(population_edit!A$2:A$1276, A44, population_edit!C$2:C$1276) * 100000, 0)</f>
        <v>6.375653504</v>
      </c>
      <c r="G44" s="8">
        <f>IFERROR(E44 / SUMIF(population_edit!A$2:A$1276, A44, population_edit!D$2:D$1276) * 100000, 0)</f>
        <v>0</v>
      </c>
      <c r="H44" s="8">
        <f>IFERROR((D44+E44) / (SUMIF(population_edit!A$2:A$1276, A44, population_edit!C$2:C$1276) + SUMIF(population_edit!A$2:A$1276, A44, population_edit!D$2:D$1276)) * 100000, 0)</f>
        <v>3.271680335</v>
      </c>
      <c r="I44" s="9" t="str">
        <f t="shared" si="1"/>
        <v>Высокий</v>
      </c>
    </row>
    <row r="45">
      <c r="A45" s="4" t="s">
        <v>140</v>
      </c>
      <c r="B45" s="4" t="s">
        <v>141</v>
      </c>
      <c r="C45" s="4" t="s">
        <v>142</v>
      </c>
      <c r="D45" s="6">
        <v>4.0</v>
      </c>
      <c r="E45" s="6">
        <v>7.0</v>
      </c>
      <c r="F45" s="8">
        <f>IFERROR(D45 / SUMIF(population_edit!A$2:A$1276, A45, population_edit!C$2:C$1276) * 100000, 0)</f>
        <v>1.666104356</v>
      </c>
      <c r="G45" s="8">
        <f>IFERROR(E45 / SUMIF(population_edit!A$2:A$1276, A45, population_edit!D$2:D$1276) * 100000, 0)</f>
        <v>3.106858167</v>
      </c>
      <c r="H45" s="8">
        <f>IFERROR((D45+E45) / (SUMIF(population_edit!A$2:A$1276, A45, population_edit!C$2:C$1276) + SUMIF(population_edit!A$2:A$1276, A45, population_edit!D$2:D$1276)) * 100000, 0)</f>
        <v>2.363614095</v>
      </c>
      <c r="I45" s="9" t="str">
        <f t="shared" si="1"/>
        <v>Средний</v>
      </c>
    </row>
    <row r="46">
      <c r="A46" s="4" t="s">
        <v>143</v>
      </c>
      <c r="B46" s="4" t="s">
        <v>144</v>
      </c>
      <c r="C46" s="4" t="s">
        <v>145</v>
      </c>
      <c r="D46" s="6">
        <v>1.0</v>
      </c>
      <c r="E46" s="6">
        <v>6.0</v>
      </c>
      <c r="F46" s="8">
        <f>IFERROR(D46 / SUMIF(population_edit!A$2:A$1276, A46, population_edit!C$2:C$1276) * 100000, 0)</f>
        <v>0.3848300013</v>
      </c>
      <c r="G46" s="8">
        <f>IFERROR(E46 / SUMIF(population_edit!A$2:A$1276, A46, population_edit!D$2:D$1276) * 100000, 0)</f>
        <v>2.444589309</v>
      </c>
      <c r="H46" s="8">
        <f>IFERROR((D46+E46) / (SUMIF(population_edit!A$2:A$1276, A46, population_edit!C$2:C$1276) + SUMIF(population_edit!A$2:A$1276, A46, population_edit!D$2:D$1276)) * 100000, 0)</f>
        <v>1.385329362</v>
      </c>
      <c r="I46" s="9" t="str">
        <f t="shared" si="1"/>
        <v>Низкий</v>
      </c>
    </row>
    <row r="47">
      <c r="A47" s="4" t="s">
        <v>146</v>
      </c>
      <c r="B47" s="4" t="s">
        <v>147</v>
      </c>
      <c r="C47" s="4" t="s">
        <v>148</v>
      </c>
      <c r="D47" s="6">
        <v>2.0</v>
      </c>
      <c r="E47" s="6">
        <v>2.0</v>
      </c>
      <c r="F47" s="8">
        <f>IFERROR(D47 / SUMIF(population_edit!A$2:A$1276, A47, population_edit!C$2:C$1276) * 100000, 0)</f>
        <v>2.132582664</v>
      </c>
      <c r="G47" s="8">
        <f>IFERROR(E47 / SUMIF(population_edit!A$2:A$1276, A47, population_edit!D$2:D$1276) * 100000, 0)</f>
        <v>2.23109703</v>
      </c>
      <c r="H47" s="8">
        <f>IFERROR((D47+E47) / (SUMIF(population_edit!A$2:A$1276, A47, population_edit!C$2:C$1276) + SUMIF(population_edit!A$2:A$1276, A47, population_edit!D$2:D$1276)) * 100000, 0)</f>
        <v>2.180727818</v>
      </c>
      <c r="I47" s="9" t="str">
        <f t="shared" si="1"/>
        <v>Средний</v>
      </c>
    </row>
    <row r="48">
      <c r="A48" s="4" t="s">
        <v>149</v>
      </c>
      <c r="B48" s="4" t="s">
        <v>150</v>
      </c>
      <c r="C48" s="4" t="s">
        <v>151</v>
      </c>
      <c r="D48" s="6">
        <v>10.0</v>
      </c>
      <c r="E48" s="6">
        <v>5.0</v>
      </c>
      <c r="F48" s="8">
        <f>IFERROR(D48 / SUMIF(population_edit!A$2:A$1276, A48, population_edit!C$2:C$1276) * 100000, 0)</f>
        <v>3.771549692</v>
      </c>
      <c r="G48" s="8">
        <f>IFERROR(E48 / SUMIF(population_edit!A$2:A$1276, A48, population_edit!D$2:D$1276) * 100000, 0)</f>
        <v>2.000288041</v>
      </c>
      <c r="H48" s="8">
        <f>IFERROR((D48+E48) / (SUMIF(population_edit!A$2:A$1276, A48, population_edit!C$2:C$1276) + SUMIF(population_edit!A$2:A$1276, A48, population_edit!D$2:D$1276)) * 100000, 0)</f>
        <v>2.912016338</v>
      </c>
      <c r="I48" s="9" t="str">
        <f t="shared" si="1"/>
        <v>Высокий</v>
      </c>
    </row>
    <row r="49">
      <c r="A49" s="4" t="s">
        <v>152</v>
      </c>
      <c r="B49" s="4" t="s">
        <v>153</v>
      </c>
      <c r="C49" s="4" t="s">
        <v>154</v>
      </c>
      <c r="D49" s="6">
        <v>9.0</v>
      </c>
      <c r="E49" s="6">
        <v>3.0</v>
      </c>
      <c r="F49" s="8">
        <f>IFERROR(D49 / SUMIF(population_edit!A$2:A$1276, A49, population_edit!C$2:C$1276) * 100000, 0)</f>
        <v>5.2069171</v>
      </c>
      <c r="G49" s="8">
        <f>IFERROR(E49 / SUMIF(population_edit!A$2:A$1276, A49, population_edit!D$2:D$1276) * 100000, 0)</f>
        <v>1.849853553</v>
      </c>
      <c r="H49" s="8">
        <f>IFERROR((D49+E49) / (SUMIF(population_edit!A$2:A$1276, A49, population_edit!C$2:C$1276) + SUMIF(population_edit!A$2:A$1276, A49, population_edit!D$2:D$1276)) * 100000, 0)</f>
        <v>3.581854326</v>
      </c>
      <c r="I49" s="9" t="str">
        <f t="shared" si="1"/>
        <v>Высокий</v>
      </c>
    </row>
    <row r="50">
      <c r="A50" s="4" t="s">
        <v>155</v>
      </c>
      <c r="B50" s="4" t="s">
        <v>156</v>
      </c>
      <c r="C50" s="4" t="s">
        <v>157</v>
      </c>
      <c r="D50" s="6">
        <v>5.0</v>
      </c>
      <c r="E50" s="6">
        <v>1.0</v>
      </c>
      <c r="F50" s="8">
        <f>IFERROR(D50 / SUMIF(population_edit!A$2:A$1276, A50, population_edit!C$2:C$1276) * 100000, 0)</f>
        <v>5.319828063</v>
      </c>
      <c r="G50" s="8">
        <f>IFERROR(E50 / SUMIF(population_edit!A$2:A$1276, A50, population_edit!D$2:D$1276) * 100000, 0)</f>
        <v>1.109877913</v>
      </c>
      <c r="H50" s="8">
        <f>IFERROR((D50+E50) / (SUMIF(population_edit!A$2:A$1276, A50, population_edit!C$2:C$1276) + SUMIF(population_edit!A$2:A$1276, A50, population_edit!D$2:D$1276)) * 100000, 0)</f>
        <v>3.259310764</v>
      </c>
      <c r="I50" s="9" t="str">
        <f t="shared" si="1"/>
        <v>Высокий</v>
      </c>
    </row>
    <row r="51">
      <c r="A51" s="4" t="s">
        <v>158</v>
      </c>
      <c r="B51" s="4" t="s">
        <v>159</v>
      </c>
      <c r="C51" s="4" t="s">
        <v>160</v>
      </c>
      <c r="D51" s="6">
        <v>5.0</v>
      </c>
      <c r="E51" s="6">
        <v>1.0</v>
      </c>
      <c r="F51" s="8">
        <f>IFERROR(D51 / SUMIF(population_edit!A$2:A$1276, A51, population_edit!C$2:C$1276) * 100000, 0)</f>
        <v>2.029080786</v>
      </c>
      <c r="G51" s="8">
        <f>IFERROR(E51 / SUMIF(population_edit!A$2:A$1276, A51, population_edit!D$2:D$1276) * 100000, 0)</f>
        <v>0.4333281334</v>
      </c>
      <c r="H51" s="8">
        <f>IFERROR((D51+E51) / (SUMIF(population_edit!A$2:A$1276, A51, population_edit!C$2:C$1276) + SUMIF(population_edit!A$2:A$1276, A51, population_edit!D$2:D$1276)) * 100000, 0)</f>
        <v>1.257363435</v>
      </c>
      <c r="I51" s="9" t="str">
        <f t="shared" si="1"/>
        <v>Низкий</v>
      </c>
    </row>
    <row r="52">
      <c r="A52" s="4" t="s">
        <v>161</v>
      </c>
      <c r="B52" s="4" t="s">
        <v>162</v>
      </c>
      <c r="C52" s="4" t="s">
        <v>163</v>
      </c>
      <c r="D52" s="6">
        <v>4.0</v>
      </c>
      <c r="E52" s="6">
        <v>2.0</v>
      </c>
      <c r="F52" s="8">
        <f>IFERROR(D52 / SUMIF(population_edit!A$2:A$1276, A52, population_edit!C$2:C$1276) * 100000, 0)</f>
        <v>2.137425791</v>
      </c>
      <c r="G52" s="8">
        <f>IFERROR(E52 / SUMIF(population_edit!A$2:A$1276, A52, population_edit!D$2:D$1276) * 100000, 0)</f>
        <v>1.139289539</v>
      </c>
      <c r="H52" s="8">
        <f>IFERROR((D52+E52) / (SUMIF(population_edit!A$2:A$1276, A52, population_edit!C$2:C$1276) + SUMIF(population_edit!A$2:A$1276, A52, population_edit!D$2:D$1276)) * 100000, 0)</f>
        <v>1.654309891</v>
      </c>
      <c r="I52" s="9" t="str">
        <f t="shared" si="1"/>
        <v>Низкий</v>
      </c>
    </row>
    <row r="53">
      <c r="A53" s="4" t="s">
        <v>164</v>
      </c>
      <c r="B53" s="4" t="s">
        <v>165</v>
      </c>
      <c r="C53" s="4" t="s">
        <v>166</v>
      </c>
      <c r="D53" s="6">
        <v>6.0</v>
      </c>
      <c r="E53" s="6">
        <v>4.0</v>
      </c>
      <c r="F53" s="8">
        <f>IFERROR(D53 / SUMIF(population_edit!A$2:A$1276, A53, population_edit!C$2:C$1276) * 100000, 0)</f>
        <v>6.188693257</v>
      </c>
      <c r="G53" s="8">
        <f>IFERROR(E53 / SUMIF(population_edit!A$2:A$1276, A53, population_edit!D$2:D$1276) * 100000, 0)</f>
        <v>4.372875056</v>
      </c>
      <c r="H53" s="8">
        <f>IFERROR((D53+E53) / (SUMIF(population_edit!A$2:A$1276, A53, population_edit!C$2:C$1276) + SUMIF(population_edit!A$2:A$1276, A53, population_edit!D$2:D$1276)) * 100000, 0)</f>
        <v>5.307179552</v>
      </c>
      <c r="I53" s="9" t="str">
        <f t="shared" si="1"/>
        <v>Высокий</v>
      </c>
    </row>
    <row r="54">
      <c r="A54" s="4" t="s">
        <v>167</v>
      </c>
      <c r="B54" s="4" t="s">
        <v>168</v>
      </c>
      <c r="C54" s="4" t="s">
        <v>169</v>
      </c>
      <c r="D54" s="6">
        <v>8.0</v>
      </c>
      <c r="E54" s="6">
        <v>11.0</v>
      </c>
      <c r="F54" s="8">
        <f>IFERROR(D54 / SUMIF(population_edit!A$2:A$1276, A54, population_edit!C$2:C$1276) * 100000, 0)</f>
        <v>2.046721536</v>
      </c>
      <c r="G54" s="8">
        <f>IFERROR(E54 / SUMIF(population_edit!A$2:A$1276, A54, population_edit!D$2:D$1276) * 100000, 0)</f>
        <v>2.977850209</v>
      </c>
      <c r="H54" s="8">
        <f>IFERROR((D54+E54) / (SUMIF(population_edit!A$2:A$1276, A54, population_edit!C$2:C$1276) + SUMIF(population_edit!A$2:A$1276, A54, population_edit!D$2:D$1276)) * 100000, 0)</f>
        <v>2.499135168</v>
      </c>
      <c r="I54" s="9" t="str">
        <f t="shared" si="1"/>
        <v>Средний</v>
      </c>
    </row>
    <row r="55">
      <c r="A55" s="4" t="s">
        <v>170</v>
      </c>
      <c r="B55" s="4" t="s">
        <v>171</v>
      </c>
      <c r="C55" s="4" t="s">
        <v>172</v>
      </c>
      <c r="D55" s="6">
        <v>1.0</v>
      </c>
      <c r="E55" s="6">
        <v>1.0</v>
      </c>
      <c r="F55" s="8">
        <f>IFERROR(D55 / SUMIF(population_edit!A$2:A$1276, A55, population_edit!C$2:C$1276) * 100000, 0)</f>
        <v>1.587226005</v>
      </c>
      <c r="G55" s="8">
        <f>IFERROR(E55 / SUMIF(population_edit!A$2:A$1276, A55, population_edit!D$2:D$1276) * 100000, 0)</f>
        <v>1.655163282</v>
      </c>
      <c r="H55" s="8">
        <f>IFERROR((D55+E55) / (SUMIF(population_edit!A$2:A$1276, A55, population_edit!C$2:C$1276) + SUMIF(population_edit!A$2:A$1276, A55, population_edit!D$2:D$1276)) * 100000, 0)</f>
        <v>1.620482904</v>
      </c>
      <c r="I55" s="9" t="str">
        <f t="shared" si="1"/>
        <v>Низкий</v>
      </c>
    </row>
    <row r="56">
      <c r="A56" s="4" t="s">
        <v>173</v>
      </c>
      <c r="B56" s="4" t="s">
        <v>174</v>
      </c>
      <c r="C56" s="4" t="s">
        <v>175</v>
      </c>
      <c r="D56" s="6">
        <v>0.0</v>
      </c>
      <c r="E56" s="6">
        <v>1.0</v>
      </c>
      <c r="F56" s="8">
        <f>IFERROR(D56 / SUMIF(population_edit!A$2:A$1276, A56, population_edit!C$2:C$1276) * 100000, 0)</f>
        <v>0</v>
      </c>
      <c r="G56" s="8">
        <f>IFERROR(E56 / SUMIF(population_edit!A$2:A$1276, A56, population_edit!D$2:D$1276) * 100000, 0)</f>
        <v>1.951105301</v>
      </c>
      <c r="H56" s="8">
        <f>IFERROR((D56+E56) / (SUMIF(population_edit!A$2:A$1276, A56, population_edit!C$2:C$1276) + SUMIF(population_edit!A$2:A$1276, A56, population_edit!D$2:D$1276)) * 100000, 0)</f>
        <v>0.9566997685</v>
      </c>
      <c r="I56" s="9" t="str">
        <f t="shared" si="1"/>
        <v>Низкий</v>
      </c>
    </row>
    <row r="57">
      <c r="A57" s="4" t="s">
        <v>176</v>
      </c>
      <c r="B57" s="4" t="s">
        <v>177</v>
      </c>
      <c r="C57" s="4" t="s">
        <v>178</v>
      </c>
      <c r="D57" s="6">
        <v>11.0</v>
      </c>
      <c r="E57" s="6">
        <v>5.0</v>
      </c>
      <c r="F57" s="8">
        <f>IFERROR(D57 / SUMIF(population_edit!A$2:A$1276, A57, population_edit!C$2:C$1276) * 100000, 0)</f>
        <v>2.915938786</v>
      </c>
      <c r="G57" s="8">
        <f>IFERROR(E57 / SUMIF(population_edit!A$2:A$1276, A57, population_edit!D$2:D$1276) * 100000, 0)</f>
        <v>1.400830973</v>
      </c>
      <c r="H57" s="8">
        <f>IFERROR((D57+E57) / (SUMIF(population_edit!A$2:A$1276, A57, population_edit!C$2:C$1276) + SUMIF(population_edit!A$2:A$1276, A57, population_edit!D$2:D$1276)) * 100000, 0)</f>
        <v>2.179337699</v>
      </c>
      <c r="I57" s="9" t="str">
        <f t="shared" si="1"/>
        <v>Средний</v>
      </c>
    </row>
    <row r="58">
      <c r="A58" s="4" t="s">
        <v>179</v>
      </c>
      <c r="B58" s="4" t="s">
        <v>180</v>
      </c>
      <c r="C58" s="4" t="s">
        <v>181</v>
      </c>
      <c r="D58" s="6">
        <v>3.0</v>
      </c>
      <c r="E58" s="6">
        <v>3.0</v>
      </c>
      <c r="F58" s="8">
        <f>IFERROR(D58 / SUMIF(population_edit!A$2:A$1276, A58, population_edit!C$2:C$1276) * 100000, 0)</f>
        <v>2.11822521</v>
      </c>
      <c r="G58" s="8">
        <f>IFERROR(E58 / SUMIF(population_edit!A$2:A$1276, A58, population_edit!D$2:D$1276) * 100000, 0)</f>
        <v>2.228577796</v>
      </c>
      <c r="H58" s="8">
        <f>IFERROR((D58+E58) / (SUMIF(population_edit!A$2:A$1276, A58, population_edit!C$2:C$1276) + SUMIF(population_edit!A$2:A$1276, A58, population_edit!D$2:D$1276)) * 100000, 0)</f>
        <v>2.172000738</v>
      </c>
      <c r="I58" s="9" t="str">
        <f t="shared" si="1"/>
        <v>Средний</v>
      </c>
    </row>
    <row r="59">
      <c r="A59" s="4" t="s">
        <v>182</v>
      </c>
      <c r="B59" s="4" t="s">
        <v>183</v>
      </c>
      <c r="C59" s="4" t="s">
        <v>184</v>
      </c>
      <c r="D59" s="6">
        <v>2.0</v>
      </c>
      <c r="E59" s="6">
        <v>0.0</v>
      </c>
      <c r="F59" s="8">
        <f>IFERROR(D59 / SUMIF(population_edit!A$2:A$1276, A59, population_edit!C$2:C$1276) * 100000, 0)</f>
        <v>1.811955281</v>
      </c>
      <c r="G59" s="8">
        <f>IFERROR(E59 / SUMIF(population_edit!A$2:A$1276, A59, population_edit!D$2:D$1276) * 100000, 0)</f>
        <v>0</v>
      </c>
      <c r="H59" s="8">
        <f>IFERROR((D59+E59) / (SUMIF(population_edit!A$2:A$1276, A59, population_edit!C$2:C$1276) + SUMIF(population_edit!A$2:A$1276, A59, population_edit!D$2:D$1276)) * 100000, 0)</f>
        <v>0.93057882</v>
      </c>
      <c r="I59" s="9" t="str">
        <f t="shared" si="1"/>
        <v>Низкий</v>
      </c>
    </row>
    <row r="60">
      <c r="A60" s="4" t="s">
        <v>185</v>
      </c>
      <c r="B60" s="4" t="s">
        <v>186</v>
      </c>
      <c r="C60" s="4" t="s">
        <v>187</v>
      </c>
      <c r="D60" s="6">
        <v>3.0</v>
      </c>
      <c r="E60" s="6">
        <v>6.0</v>
      </c>
      <c r="F60" s="8">
        <f>IFERROR(D60 / SUMIF(population_edit!A$2:A$1276, A60, population_edit!C$2:C$1276) * 100000, 0)</f>
        <v>1.588150281</v>
      </c>
      <c r="G60" s="8">
        <f>IFERROR(E60 / SUMIF(population_edit!A$2:A$1276, A60, population_edit!D$2:D$1276) * 100000, 0)</f>
        <v>3.349017901</v>
      </c>
      <c r="H60" s="8">
        <f>IFERROR((D60+E60) / (SUMIF(population_edit!A$2:A$1276, A60, population_edit!C$2:C$1276) + SUMIF(population_edit!A$2:A$1276, A60, population_edit!D$2:D$1276)) * 100000, 0)</f>
        <v>2.445280066</v>
      </c>
      <c r="I60" s="9" t="str">
        <f t="shared" si="1"/>
        <v>Средний</v>
      </c>
    </row>
    <row r="61">
      <c r="A61" s="4" t="s">
        <v>188</v>
      </c>
      <c r="B61" s="4" t="s">
        <v>189</v>
      </c>
      <c r="C61" s="4" t="s">
        <v>190</v>
      </c>
      <c r="D61" s="6">
        <v>2.0</v>
      </c>
      <c r="E61" s="6">
        <v>0.0</v>
      </c>
      <c r="F61" s="8">
        <f>IFERROR(D61 / SUMIF(population_edit!A$2:A$1276, A61, population_edit!C$2:C$1276) * 100000, 0)</f>
        <v>3.497604141</v>
      </c>
      <c r="G61" s="8">
        <f>IFERROR(E61 / SUMIF(population_edit!A$2:A$1276, A61, population_edit!D$2:D$1276) * 100000, 0)</f>
        <v>0</v>
      </c>
      <c r="H61" s="8">
        <f>IFERROR((D61+E61) / (SUMIF(population_edit!A$2:A$1276, A61, population_edit!C$2:C$1276) + SUMIF(population_edit!A$2:A$1276, A61, population_edit!D$2:D$1276)) * 100000, 0)</f>
        <v>1.787342044</v>
      </c>
      <c r="I61" s="9" t="str">
        <f t="shared" si="1"/>
        <v>Средний</v>
      </c>
    </row>
    <row r="62">
      <c r="A62" s="4" t="s">
        <v>191</v>
      </c>
      <c r="B62" s="4" t="s">
        <v>192</v>
      </c>
      <c r="C62" s="4" t="s">
        <v>193</v>
      </c>
      <c r="D62" s="6">
        <v>2.0</v>
      </c>
      <c r="E62" s="6">
        <v>0.0</v>
      </c>
      <c r="F62" s="8">
        <f>IFERROR(D62 / SUMIF(population_edit!A$2:A$1276, A62, population_edit!C$2:C$1276) * 100000, 0)</f>
        <v>2.752356705</v>
      </c>
      <c r="G62" s="8">
        <f>IFERROR(E62 / SUMIF(population_edit!A$2:A$1276, A62, population_edit!D$2:D$1276) * 100000, 0)</f>
        <v>0</v>
      </c>
      <c r="H62" s="8">
        <f>IFERROR((D62+E62) / (SUMIF(population_edit!A$2:A$1276, A62, population_edit!C$2:C$1276) + SUMIF(population_edit!A$2:A$1276, A62, population_edit!D$2:D$1276)) * 100000, 0)</f>
        <v>1.416400501</v>
      </c>
      <c r="I62" s="9" t="str">
        <f t="shared" si="1"/>
        <v>Низкий</v>
      </c>
    </row>
    <row r="63">
      <c r="A63" s="4" t="s">
        <v>194</v>
      </c>
      <c r="B63" s="4" t="s">
        <v>195</v>
      </c>
      <c r="C63" s="4" t="s">
        <v>196</v>
      </c>
      <c r="D63" s="6">
        <v>12.0</v>
      </c>
      <c r="E63" s="6">
        <v>4.0</v>
      </c>
      <c r="F63" s="8">
        <f>IFERROR(D63 / SUMIF(population_edit!A$2:A$1276, A63, population_edit!C$2:C$1276) * 100000, 0)</f>
        <v>2.960375376</v>
      </c>
      <c r="G63" s="8">
        <f>IFERROR(E63 / SUMIF(population_edit!A$2:A$1276, A63, population_edit!D$2:D$1276) * 100000, 0)</f>
        <v>1.041441563</v>
      </c>
      <c r="H63" s="8">
        <f>IFERROR((D63+E63) / (SUMIF(population_edit!A$2:A$1276, A63, population_edit!C$2:C$1276) + SUMIF(population_edit!A$2:A$1276, A63, population_edit!D$2:D$1276)) * 100000, 0)</f>
        <v>2.026760843</v>
      </c>
      <c r="I63" s="9" t="str">
        <f t="shared" si="1"/>
        <v>Средний</v>
      </c>
    </row>
    <row r="64">
      <c r="A64" s="4" t="s">
        <v>197</v>
      </c>
      <c r="B64" s="4" t="s">
        <v>198</v>
      </c>
      <c r="C64" s="4" t="s">
        <v>199</v>
      </c>
      <c r="D64" s="6">
        <v>4.0</v>
      </c>
      <c r="E64" s="6">
        <v>7.0</v>
      </c>
      <c r="F64" s="8">
        <f>IFERROR(D64 / SUMIF(population_edit!A$2:A$1276, A64, population_edit!C$2:C$1276) * 100000, 0)</f>
        <v>2.372971851</v>
      </c>
      <c r="G64" s="8">
        <f>IFERROR(E64 / SUMIF(population_edit!A$2:A$1276, A64, population_edit!D$2:D$1276) * 100000, 0)</f>
        <v>4.352151206</v>
      </c>
      <c r="H64" s="8">
        <f>IFERROR((D64+E64) / (SUMIF(population_edit!A$2:A$1276, A64, population_edit!C$2:C$1276) + SUMIF(population_edit!A$2:A$1276, A64, population_edit!D$2:D$1276)) * 100000, 0)</f>
        <v>3.33935429</v>
      </c>
      <c r="I64" s="9" t="str">
        <f t="shared" si="1"/>
        <v>Высокий</v>
      </c>
    </row>
    <row r="65">
      <c r="A65" s="4" t="s">
        <v>200</v>
      </c>
      <c r="B65" s="4" t="s">
        <v>201</v>
      </c>
      <c r="C65" s="4" t="s">
        <v>202</v>
      </c>
      <c r="D65" s="6">
        <v>7.0</v>
      </c>
      <c r="E65" s="6">
        <v>5.0</v>
      </c>
      <c r="F65" s="8">
        <f>IFERROR(D65 / SUMIF(population_edit!A$2:A$1276, A65, population_edit!C$2:C$1276) * 100000, 0)</f>
        <v>2.177713898</v>
      </c>
      <c r="G65" s="8">
        <f>IFERROR(E65 / SUMIF(population_edit!A$2:A$1276, A65, population_edit!D$2:D$1276) * 100000, 0)</f>
        <v>1.637508106</v>
      </c>
      <c r="H65" s="8">
        <f>IFERROR((D65+E65) / (SUMIF(population_edit!A$2:A$1276, A65, population_edit!C$2:C$1276) + SUMIF(population_edit!A$2:A$1276, A65, population_edit!D$2:D$1276)) * 100000, 0)</f>
        <v>1.914547369</v>
      </c>
      <c r="I65" s="9" t="str">
        <f t="shared" si="1"/>
        <v>Средний</v>
      </c>
    </row>
    <row r="66">
      <c r="A66" s="4" t="s">
        <v>203</v>
      </c>
      <c r="B66" s="4" t="s">
        <v>204</v>
      </c>
      <c r="C66" s="4" t="s">
        <v>205</v>
      </c>
      <c r="D66" s="6">
        <v>6.0</v>
      </c>
      <c r="E66" s="6">
        <v>4.0</v>
      </c>
      <c r="F66" s="8">
        <f>IFERROR(D66 / SUMIF(population_edit!A$2:A$1276, A66, population_edit!C$2:C$1276) * 100000, 0)</f>
        <v>2.993339819</v>
      </c>
      <c r="G66" s="8">
        <f>IFERROR(E66 / SUMIF(population_edit!A$2:A$1276, A66, population_edit!D$2:D$1276) * 100000, 0)</f>
        <v>2.098074492</v>
      </c>
      <c r="H66" s="8">
        <f>IFERROR((D66+E66) / (SUMIF(population_edit!A$2:A$1276, A66, population_edit!C$2:C$1276) + SUMIF(population_edit!A$2:A$1276, A66, population_edit!D$2:D$1276)) * 100000, 0)</f>
        <v>2.556916972</v>
      </c>
      <c r="I66" s="9" t="str">
        <f t="shared" si="1"/>
        <v>Высокий</v>
      </c>
    </row>
    <row r="67">
      <c r="A67" s="4" t="s">
        <v>206</v>
      </c>
      <c r="B67" s="4" t="s">
        <v>207</v>
      </c>
      <c r="C67" s="4" t="s">
        <v>208</v>
      </c>
      <c r="D67" s="6">
        <v>4.0</v>
      </c>
      <c r="E67" s="6">
        <v>5.0</v>
      </c>
      <c r="F67" s="8">
        <f>IFERROR(D67 / SUMIF(population_edit!A$2:A$1276, A67, population_edit!C$2:C$1276) * 100000, 0)</f>
        <v>1.454164728</v>
      </c>
      <c r="G67" s="8">
        <f>IFERROR(E67 / SUMIF(population_edit!A$2:A$1276, A67, population_edit!D$2:D$1276) * 100000, 0)</f>
        <v>1.923202671</v>
      </c>
      <c r="H67" s="8">
        <f>IFERROR((D67+E67) / (SUMIF(population_edit!A$2:A$1276, A67, population_edit!C$2:C$1276) + SUMIF(population_edit!A$2:A$1276, A67, population_edit!D$2:D$1276)) * 100000, 0)</f>
        <v>1.682070068</v>
      </c>
      <c r="I67" s="9" t="str">
        <f t="shared" si="1"/>
        <v>Низкий</v>
      </c>
    </row>
    <row r="68">
      <c r="A68" s="4" t="s">
        <v>209</v>
      </c>
      <c r="B68" s="4" t="s">
        <v>210</v>
      </c>
      <c r="C68" s="4" t="s">
        <v>211</v>
      </c>
      <c r="D68" s="6">
        <v>11.0</v>
      </c>
      <c r="E68" s="6">
        <v>8.0</v>
      </c>
      <c r="F68" s="8">
        <f>IFERROR(D68 / SUMIF(population_edit!A$2:A$1276, A68, population_edit!C$2:C$1276) * 100000, 0)</f>
        <v>4.439798352</v>
      </c>
      <c r="G68" s="8">
        <f>IFERROR(E68 / SUMIF(population_edit!A$2:A$1276, A68, population_edit!D$2:D$1276) * 100000, 0)</f>
        <v>3.409710857</v>
      </c>
      <c r="H68" s="8">
        <f>IFERROR((D68+E68) / (SUMIF(population_edit!A$2:A$1276, A68, population_edit!C$2:C$1276) + SUMIF(population_edit!A$2:A$1276, A68, population_edit!D$2:D$1276)) * 100000, 0)</f>
        <v>3.938778937</v>
      </c>
      <c r="I68" s="9" t="str">
        <f t="shared" si="1"/>
        <v>Высокий</v>
      </c>
    </row>
    <row r="69">
      <c r="A69" s="4" t="s">
        <v>212</v>
      </c>
      <c r="B69" s="4" t="s">
        <v>213</v>
      </c>
      <c r="C69" s="4" t="s">
        <v>214</v>
      </c>
      <c r="D69" s="6">
        <v>9.0</v>
      </c>
      <c r="E69" s="6">
        <v>3.0</v>
      </c>
      <c r="F69" s="8">
        <f>IFERROR(D69 / SUMIF(population_edit!A$2:A$1276, A69, population_edit!C$2:C$1276) * 100000, 0)</f>
        <v>3.866876337</v>
      </c>
      <c r="G69" s="8">
        <f>IFERROR(E69 / SUMIF(population_edit!A$2:A$1276, A69, population_edit!D$2:D$1276) * 100000, 0)</f>
        <v>1.357588922</v>
      </c>
      <c r="H69" s="8">
        <f>IFERROR((D69+E69) / (SUMIF(population_edit!A$2:A$1276, A69, population_edit!C$2:C$1276) + SUMIF(population_edit!A$2:A$1276, A69, population_edit!D$2:D$1276)) * 100000, 0)</f>
        <v>2.644767988</v>
      </c>
      <c r="I69" s="9" t="str">
        <f t="shared" si="1"/>
        <v>Высокий</v>
      </c>
    </row>
    <row r="70">
      <c r="A70" s="4" t="s">
        <v>215</v>
      </c>
      <c r="B70" s="4" t="s">
        <v>216</v>
      </c>
      <c r="C70" s="4" t="s">
        <v>217</v>
      </c>
      <c r="D70" s="6">
        <v>5.0</v>
      </c>
      <c r="E70" s="6">
        <v>3.0</v>
      </c>
      <c r="F70" s="8">
        <f>IFERROR(D70 / SUMIF(population_edit!A$2:A$1276, A70, population_edit!C$2:C$1276) * 100000, 0)</f>
        <v>1.919422638</v>
      </c>
      <c r="G70" s="8">
        <f>IFERROR(E70 / SUMIF(population_edit!A$2:A$1276, A70, population_edit!D$2:D$1276) * 100000, 0)</f>
        <v>1.213886866</v>
      </c>
      <c r="H70" s="8">
        <f>IFERROR((D70+E70) / (SUMIF(population_edit!A$2:A$1276, A70, population_edit!C$2:C$1276) + SUMIF(population_edit!A$2:A$1276, A70, population_edit!D$2:D$1276)) * 100000, 0)</f>
        <v>1.575935465</v>
      </c>
      <c r="I70" s="9" t="str">
        <f t="shared" si="1"/>
        <v>Низкий</v>
      </c>
    </row>
    <row r="71">
      <c r="A71" s="4" t="s">
        <v>218</v>
      </c>
      <c r="B71" s="4" t="s">
        <v>219</v>
      </c>
      <c r="C71" s="4" t="s">
        <v>220</v>
      </c>
      <c r="D71" s="6">
        <v>3.0</v>
      </c>
      <c r="E71" s="6">
        <v>5.0</v>
      </c>
      <c r="F71" s="8">
        <f>IFERROR(D71 / SUMIF(population_edit!A$2:A$1276, A71, population_edit!C$2:C$1276) * 100000, 0)</f>
        <v>1.721891555</v>
      </c>
      <c r="G71" s="8">
        <f>IFERROR(E71 / SUMIF(population_edit!A$2:A$1276, A71, population_edit!D$2:D$1276) * 100000, 0)</f>
        <v>3.02804576</v>
      </c>
      <c r="H71" s="8">
        <f>IFERROR((D71+E71) / (SUMIF(population_edit!A$2:A$1276, A71, population_edit!C$2:C$1276) + SUMIF(population_edit!A$2:A$1276, A71, population_edit!D$2:D$1276)) * 100000, 0)</f>
        <v>2.357448062</v>
      </c>
      <c r="I71" s="9" t="str">
        <f t="shared" si="1"/>
        <v>Средний</v>
      </c>
    </row>
    <row r="72">
      <c r="A72" s="4" t="s">
        <v>221</v>
      </c>
      <c r="B72" s="4" t="s">
        <v>222</v>
      </c>
      <c r="C72" s="4" t="s">
        <v>223</v>
      </c>
      <c r="D72" s="6">
        <v>1.0</v>
      </c>
      <c r="E72" s="6">
        <v>1.0</v>
      </c>
      <c r="F72" s="8">
        <f>IFERROR(D72 / SUMIF(population_edit!A$2:A$1276, A72, population_edit!C$2:C$1276) * 100000, 0)</f>
        <v>1.050916925</v>
      </c>
      <c r="G72" s="8">
        <f>IFERROR(E72 / SUMIF(population_edit!A$2:A$1276, A72, population_edit!D$2:D$1276) * 100000, 0)</f>
        <v>1.101248816</v>
      </c>
      <c r="H72" s="8">
        <f>IFERROR((D72+E72) / (SUMIF(population_edit!A$2:A$1276, A72, population_edit!C$2:C$1276) + SUMIF(population_edit!A$2:A$1276, A72, population_edit!D$2:D$1276)) * 100000, 0)</f>
        <v>1.075494324</v>
      </c>
      <c r="I72" s="9" t="str">
        <f t="shared" si="1"/>
        <v>Низкий</v>
      </c>
    </row>
    <row r="73">
      <c r="A73" s="4" t="s">
        <v>224</v>
      </c>
      <c r="B73" s="4" t="s">
        <v>225</v>
      </c>
      <c r="C73" s="4" t="s">
        <v>226</v>
      </c>
      <c r="D73" s="6">
        <v>0.0</v>
      </c>
      <c r="E73" s="6">
        <v>0.0</v>
      </c>
      <c r="F73" s="8">
        <f>IFERROR(D73 / SUMIF(population_edit!A$2:A$1276, A73, population_edit!C$2:C$1276) * 100000, 0)</f>
        <v>0</v>
      </c>
      <c r="G73" s="8">
        <f>IFERROR(E73 / SUMIF(population_edit!A$2:A$1276, A73, population_edit!D$2:D$1276) * 100000, 0)</f>
        <v>0</v>
      </c>
      <c r="H73" s="8">
        <f>IFERROR((D73+E73) / (SUMIF(population_edit!A$2:A$1276, A73, population_edit!C$2:C$1276) + SUMIF(population_edit!A$2:A$1276, A73, population_edit!D$2:D$1276)) * 100000, 0)</f>
        <v>0</v>
      </c>
      <c r="I73" s="9" t="str">
        <f t="shared" si="1"/>
        <v>Низкий</v>
      </c>
    </row>
    <row r="74">
      <c r="A74" s="4" t="s">
        <v>227</v>
      </c>
      <c r="B74" s="4" t="s">
        <v>228</v>
      </c>
      <c r="C74" s="4" t="s">
        <v>229</v>
      </c>
      <c r="D74" s="6">
        <v>1.0</v>
      </c>
      <c r="E74" s="6">
        <v>2.0</v>
      </c>
      <c r="F74" s="8">
        <f>IFERROR(D74 / SUMIF(population_edit!A$2:A$1276, A74, population_edit!C$2:C$1276) * 100000, 0)</f>
        <v>1.849522823</v>
      </c>
      <c r="G74" s="8">
        <f>IFERROR(E74 / SUMIF(population_edit!A$2:A$1276, A74, population_edit!D$2:D$1276) * 100000, 0)</f>
        <v>3.842680654</v>
      </c>
      <c r="H74" s="8">
        <f>IFERROR((D74+E74) / (SUMIF(population_edit!A$2:A$1276, A74, population_edit!C$2:C$1276) + SUMIF(population_edit!A$2:A$1276, A74, population_edit!D$2:D$1276)) * 100000, 0)</f>
        <v>2.827121519</v>
      </c>
      <c r="I74" s="9" t="str">
        <f t="shared" si="1"/>
        <v>Высокий</v>
      </c>
    </row>
    <row r="75">
      <c r="A75" s="4" t="s">
        <v>230</v>
      </c>
      <c r="B75" s="4" t="s">
        <v>231</v>
      </c>
      <c r="C75" s="4" t="s">
        <v>232</v>
      </c>
      <c r="D75" s="6">
        <v>2.0</v>
      </c>
      <c r="E75" s="6">
        <v>2.0</v>
      </c>
      <c r="F75" s="8">
        <f>IFERROR(D75 / SUMIF(population_edit!A$2:A$1276, A75, population_edit!C$2:C$1276) * 100000, 0)</f>
        <v>3.588860178</v>
      </c>
      <c r="G75" s="8">
        <f>IFERROR(E75 / SUMIF(population_edit!A$2:A$1276, A75, population_edit!D$2:D$1276) * 100000, 0)</f>
        <v>3.805537056</v>
      </c>
      <c r="H75" s="8">
        <f>IFERROR((D75+E75) / (SUMIF(population_edit!A$2:A$1276, A75, population_edit!C$2:C$1276) + SUMIF(population_edit!A$2:A$1276, A75, population_edit!D$2:D$1276)) * 100000, 0)</f>
        <v>3.694023993</v>
      </c>
      <c r="I75" s="9" t="str">
        <f t="shared" si="1"/>
        <v>Высокий</v>
      </c>
    </row>
    <row r="76">
      <c r="A76" s="4" t="s">
        <v>233</v>
      </c>
      <c r="B76" s="4" t="s">
        <v>234</v>
      </c>
      <c r="C76" s="4" t="s">
        <v>235</v>
      </c>
      <c r="D76" s="6">
        <v>9.0</v>
      </c>
      <c r="E76" s="6">
        <v>6.0</v>
      </c>
      <c r="F76" s="8">
        <f>IFERROR(D76 / SUMIF(population_edit!A$2:A$1276, A76, population_edit!C$2:C$1276) * 100000, 0)</f>
        <v>5.906170636</v>
      </c>
      <c r="G76" s="8">
        <f>IFERROR(E76 / SUMIF(population_edit!A$2:A$1276, A76, population_edit!D$2:D$1276) * 100000, 0)</f>
        <v>4.0511252</v>
      </c>
      <c r="H76" s="8">
        <f>IFERROR((D76+E76) / (SUMIF(population_edit!A$2:A$1276, A76, population_edit!C$2:C$1276) + SUMIF(population_edit!A$2:A$1276, A76, population_edit!D$2:D$1276)) * 100000, 0)</f>
        <v>4.99184665</v>
      </c>
      <c r="I76" s="9" t="str">
        <f t="shared" si="1"/>
        <v>Высокий</v>
      </c>
    </row>
    <row r="77">
      <c r="A77" s="4" t="s">
        <v>236</v>
      </c>
      <c r="B77" s="4" t="s">
        <v>237</v>
      </c>
      <c r="C77" s="4" t="s">
        <v>238</v>
      </c>
      <c r="D77" s="6">
        <v>3.0</v>
      </c>
      <c r="E77" s="6">
        <v>2.0</v>
      </c>
      <c r="F77" s="8">
        <f>IFERROR(D77 / SUMIF(population_edit!A$2:A$1276, A77, population_edit!C$2:C$1276) * 100000, 0)</f>
        <v>2.555061577</v>
      </c>
      <c r="G77" s="8">
        <f>IFERROR(E77 / SUMIF(population_edit!A$2:A$1276, A77, population_edit!D$2:D$1276) * 100000, 0)</f>
        <v>1.793335964</v>
      </c>
      <c r="H77" s="8">
        <f>IFERROR((D77+E77) / (SUMIF(population_edit!A$2:A$1276, A77, population_edit!C$2:C$1276) + SUMIF(population_edit!A$2:A$1276, A77, population_edit!D$2:D$1276)) * 100000, 0)</f>
        <v>2.183997414</v>
      </c>
      <c r="I77" s="9" t="str">
        <f t="shared" si="1"/>
        <v>Средний</v>
      </c>
    </row>
    <row r="78">
      <c r="A78" s="4" t="s">
        <v>239</v>
      </c>
      <c r="B78" s="4" t="s">
        <v>240</v>
      </c>
      <c r="C78" s="4" t="s">
        <v>241</v>
      </c>
      <c r="D78" s="6">
        <v>3.0</v>
      </c>
      <c r="E78" s="6">
        <v>1.0</v>
      </c>
      <c r="F78" s="8">
        <f>IFERROR(D78 / SUMIF(population_edit!A$2:A$1276, A78, population_edit!C$2:C$1276) * 100000, 0)</f>
        <v>4.11771165</v>
      </c>
      <c r="G78" s="8">
        <f>IFERROR(E78 / SUMIF(population_edit!A$2:A$1276, A78, population_edit!D$2:D$1276) * 100000, 0)</f>
        <v>1.44233543</v>
      </c>
      <c r="H78" s="8">
        <f>IFERROR((D78+E78) / (SUMIF(population_edit!A$2:A$1276, A78, population_edit!C$2:C$1276) + SUMIF(population_edit!A$2:A$1276, A78, population_edit!D$2:D$1276)) * 100000, 0)</f>
        <v>2.813176921</v>
      </c>
      <c r="I78" s="9" t="str">
        <f t="shared" si="1"/>
        <v>Высокий</v>
      </c>
    </row>
    <row r="79">
      <c r="A79" s="4" t="s">
        <v>242</v>
      </c>
      <c r="B79" s="4" t="s">
        <v>243</v>
      </c>
      <c r="C79" s="4" t="s">
        <v>244</v>
      </c>
      <c r="D79" s="6">
        <v>0.0</v>
      </c>
      <c r="E79" s="6">
        <v>0.0</v>
      </c>
      <c r="F79" s="8">
        <f>IFERROR(D79 / SUMIF(population_edit!A$2:A$1276, A79, population_edit!C$2:C$1276) * 100000, 0)</f>
        <v>0</v>
      </c>
      <c r="G79" s="8">
        <f>IFERROR(E79 / SUMIF(population_edit!A$2:A$1276, A79, population_edit!D$2:D$1276) * 100000, 0)</f>
        <v>0</v>
      </c>
      <c r="H79" s="8">
        <f>IFERROR((D79+E79) / (SUMIF(population_edit!A$2:A$1276, A79, population_edit!C$2:C$1276) + SUMIF(population_edit!A$2:A$1276, A79, population_edit!D$2:D$1276)) * 100000, 0)</f>
        <v>0</v>
      </c>
      <c r="I79" s="9" t="str">
        <f t="shared" si="1"/>
        <v>Низкий</v>
      </c>
    </row>
    <row r="80">
      <c r="A80" s="4" t="s">
        <v>245</v>
      </c>
      <c r="B80" s="4" t="s">
        <v>246</v>
      </c>
      <c r="C80" s="4" t="s">
        <v>247</v>
      </c>
      <c r="D80" s="6">
        <v>0.0</v>
      </c>
      <c r="E80" s="6">
        <v>0.0</v>
      </c>
      <c r="F80" s="8">
        <f>IFERROR(D80 / SUMIF(population_edit!A$2:A$1276, A80, population_edit!C$2:C$1276) * 100000, 0)</f>
        <v>0</v>
      </c>
      <c r="G80" s="8">
        <f>IFERROR(E80 / SUMIF(population_edit!A$2:A$1276, A80, population_edit!D$2:D$1276) * 100000, 0)</f>
        <v>0</v>
      </c>
      <c r="H80" s="8">
        <f>IFERROR((D80+E80) / (SUMIF(population_edit!A$2:A$1276, A80, population_edit!C$2:C$1276) + SUMIF(population_edit!A$2:A$1276, A80, population_edit!D$2:D$1276)) * 100000, 0)</f>
        <v>0</v>
      </c>
      <c r="I80" s="9" t="str">
        <f t="shared" si="1"/>
        <v>Низкий</v>
      </c>
    </row>
    <row r="81">
      <c r="A81" s="4" t="s">
        <v>248</v>
      </c>
      <c r="B81" s="4" t="s">
        <v>249</v>
      </c>
      <c r="C81" s="4" t="s">
        <v>250</v>
      </c>
      <c r="D81" s="6">
        <v>0.0</v>
      </c>
      <c r="E81" s="6">
        <v>0.0</v>
      </c>
      <c r="F81" s="8">
        <f>IFERROR(D81 / SUMIF(population_edit!A$2:A$1276, A81, population_edit!C$2:C$1276) * 100000, 0)</f>
        <v>0</v>
      </c>
      <c r="G81" s="8">
        <f>IFERROR(E81 / SUMIF(population_edit!A$2:A$1276, A81, population_edit!D$2:D$1276) * 100000, 0)</f>
        <v>0</v>
      </c>
      <c r="H81" s="8">
        <f>IFERROR((D81+E81) / (SUMIF(population_edit!A$2:A$1276, A81, population_edit!C$2:C$1276) + SUMIF(population_edit!A$2:A$1276, A81, population_edit!D$2:D$1276)) * 100000, 0)</f>
        <v>0</v>
      </c>
      <c r="I81" s="9" t="str">
        <f t="shared" si="1"/>
        <v>Низкий</v>
      </c>
    </row>
    <row r="82">
      <c r="A82" s="4" t="s">
        <v>251</v>
      </c>
      <c r="B82" s="4" t="s">
        <v>252</v>
      </c>
      <c r="C82" s="4" t="s">
        <v>253</v>
      </c>
      <c r="D82" s="6">
        <v>1.0</v>
      </c>
      <c r="E82" s="6">
        <v>2.0</v>
      </c>
      <c r="F82" s="8">
        <f>IFERROR(D82 / SUMIF(population_edit!A$2:A$1276, A82, population_edit!C$2:C$1276) * 100000, 0)</f>
        <v>0.9594166747</v>
      </c>
      <c r="G82" s="8">
        <f>IFERROR(E82 / SUMIF(population_edit!A$2:A$1276, A82, population_edit!D$2:D$1276) * 100000, 0)</f>
        <v>2.006662118</v>
      </c>
      <c r="H82" s="8">
        <f>IFERROR((D82+E82) / (SUMIF(population_edit!A$2:A$1276, A82, population_edit!C$2:C$1276) + SUMIF(population_edit!A$2:A$1276, A82, population_edit!D$2:D$1276)) * 100000, 0)</f>
        <v>1.471323897</v>
      </c>
      <c r="I82" s="9" t="str">
        <f t="shared" si="1"/>
        <v>Низкий</v>
      </c>
    </row>
    <row r="83">
      <c r="A83" s="4" t="s">
        <v>254</v>
      </c>
      <c r="B83" s="4" t="s">
        <v>255</v>
      </c>
      <c r="C83" s="4" t="s">
        <v>256</v>
      </c>
      <c r="D83" s="6">
        <v>0.0</v>
      </c>
      <c r="E83" s="6">
        <v>0.0</v>
      </c>
      <c r="F83" s="8">
        <f>IFERROR(D83 / SUMIF(population_edit!A$2:A$1276, A83, population_edit!C$2:C$1276) * 100000, 0)</f>
        <v>0</v>
      </c>
      <c r="G83" s="8">
        <f>IFERROR(E83 / SUMIF(population_edit!A$2:A$1276, A83, population_edit!D$2:D$1276) * 100000, 0)</f>
        <v>0</v>
      </c>
      <c r="H83" s="8">
        <f>IFERROR((D83+E83) / (SUMIF(population_edit!A$2:A$1276, A83, population_edit!C$2:C$1276) + SUMIF(population_edit!A$2:A$1276, A83, population_edit!D$2:D$1276)) * 100000, 0)</f>
        <v>0</v>
      </c>
      <c r="I83" s="9" t="str">
        <f t="shared" si="1"/>
        <v>Низкий</v>
      </c>
    </row>
    <row r="84">
      <c r="A84" s="4" t="s">
        <v>257</v>
      </c>
      <c r="B84" s="4" t="s">
        <v>258</v>
      </c>
      <c r="C84" s="4" t="s">
        <v>259</v>
      </c>
      <c r="D84" s="6">
        <v>6.0</v>
      </c>
      <c r="E84" s="6">
        <v>2.0</v>
      </c>
      <c r="F84" s="8">
        <f>IFERROR(D84 / SUMIF(population_edit!A$2:A$1276, A84, population_edit!C$2:C$1276) * 100000, 0)</f>
        <v>5.37105004</v>
      </c>
      <c r="G84" s="8">
        <f>IFERROR(E84 / SUMIF(population_edit!A$2:A$1276, A84, population_edit!D$2:D$1276) * 100000, 0)</f>
        <v>1.884587841</v>
      </c>
      <c r="H84" s="8">
        <f>IFERROR((D84+E84) / (SUMIF(population_edit!A$2:A$1276, A84, population_edit!C$2:C$1276) + SUMIF(population_edit!A$2:A$1276, A84, population_edit!D$2:D$1276)) * 100000, 0)</f>
        <v>3.672521278</v>
      </c>
      <c r="I84" s="9" t="str">
        <f t="shared" si="1"/>
        <v>Высокий</v>
      </c>
    </row>
    <row r="85">
      <c r="A85" s="4" t="s">
        <v>260</v>
      </c>
      <c r="B85" s="4" t="s">
        <v>261</v>
      </c>
      <c r="C85" s="4" t="s">
        <v>262</v>
      </c>
      <c r="D85" s="6">
        <v>1.0</v>
      </c>
      <c r="E85" s="6">
        <v>4.0</v>
      </c>
      <c r="F85" s="8">
        <f>IFERROR(D85 / SUMIF(population_edit!A$2:A$1276, A85, population_edit!C$2:C$1276) * 100000, 0)</f>
        <v>0.8762629139</v>
      </c>
      <c r="G85" s="8">
        <f>IFERROR(E85 / SUMIF(population_edit!A$2:A$1276, A85, population_edit!D$2:D$1276) * 100000, 0)</f>
        <v>3.644680134</v>
      </c>
      <c r="H85" s="8">
        <f>IFERROR((D85+E85) / (SUMIF(population_edit!A$2:A$1276, A85, population_edit!C$2:C$1276) + SUMIF(population_edit!A$2:A$1276, A85, population_edit!D$2:D$1276)) * 100000, 0)</f>
        <v>2.233439049</v>
      </c>
      <c r="I85" s="9" t="str">
        <f t="shared" si="1"/>
        <v>Средний</v>
      </c>
    </row>
    <row r="86">
      <c r="A86" s="4" t="s">
        <v>263</v>
      </c>
      <c r="B86" s="4" t="s">
        <v>255</v>
      </c>
      <c r="C86" s="4" t="s">
        <v>256</v>
      </c>
      <c r="D86" s="6">
        <v>0.0</v>
      </c>
      <c r="E86" s="6">
        <v>0.0</v>
      </c>
      <c r="F86" s="8">
        <f>IFERROR(D86 / SUMIF(population_edit!A$2:A$1276, A86, population_edit!C$2:C$1276) * 100000, 0)</f>
        <v>0</v>
      </c>
      <c r="G86" s="8">
        <f>IFERROR(E86 / SUMIF(population_edit!A$2:A$1276, A86, population_edit!D$2:D$1276) * 100000, 0)</f>
        <v>0</v>
      </c>
      <c r="H86" s="8">
        <f>IFERROR((D86+E86) / (SUMIF(population_edit!A$2:A$1276, A86, population_edit!C$2:C$1276) + SUMIF(population_edit!A$2:A$1276, A86, population_edit!D$2:D$1276)) * 100000, 0)</f>
        <v>0</v>
      </c>
      <c r="I86" s="9" t="str">
        <f t="shared" si="1"/>
        <v>Низкий</v>
      </c>
    </row>
    <row r="87">
      <c r="A87" s="9"/>
      <c r="B87" s="9"/>
      <c r="C87" s="9"/>
      <c r="D87" s="9"/>
      <c r="E87" s="9"/>
      <c r="F87" s="9"/>
      <c r="G87" s="9"/>
      <c r="H87" s="9"/>
      <c r="I87" s="9"/>
    </row>
    <row r="88">
      <c r="A88" s="9"/>
      <c r="B88" s="9"/>
      <c r="C88" s="9"/>
      <c r="D88" s="9"/>
      <c r="E88" s="9"/>
      <c r="F88" s="9"/>
      <c r="G88" s="9"/>
      <c r="H88" s="9"/>
      <c r="I88" s="9"/>
    </row>
    <row r="89">
      <c r="A89" s="9"/>
      <c r="B89" s="9"/>
      <c r="C89" s="9"/>
      <c r="D89" s="9"/>
      <c r="E89" s="9"/>
      <c r="F89" s="9"/>
      <c r="G89" s="9"/>
      <c r="H89" s="9"/>
      <c r="I89" s="9"/>
    </row>
    <row r="90">
      <c r="A90" s="9"/>
      <c r="B90" s="9"/>
      <c r="C90" s="9"/>
      <c r="D90" s="9"/>
      <c r="E90" s="9"/>
      <c r="F90" s="9"/>
      <c r="G90" s="9"/>
      <c r="H90" s="9"/>
      <c r="I90" s="9"/>
    </row>
    <row r="91">
      <c r="A91" s="9"/>
      <c r="B91" s="9"/>
      <c r="C91" s="9"/>
      <c r="D91" s="9"/>
      <c r="E91" s="9"/>
      <c r="F91" s="9"/>
      <c r="G91" s="9"/>
      <c r="H91" s="9"/>
      <c r="I91" s="9"/>
    </row>
    <row r="92">
      <c r="A92" s="9"/>
      <c r="B92" s="9"/>
      <c r="C92" s="9"/>
      <c r="D92" s="9"/>
      <c r="E92" s="9"/>
      <c r="F92" s="9"/>
      <c r="G92" s="9"/>
      <c r="H92" s="9"/>
      <c r="I92" s="9"/>
    </row>
    <row r="93">
      <c r="A93" s="9"/>
      <c r="B93" s="9"/>
      <c r="C93" s="9"/>
      <c r="D93" s="9"/>
      <c r="E93" s="9"/>
      <c r="F93" s="9"/>
      <c r="G93" s="9"/>
      <c r="H93" s="9"/>
      <c r="I93" s="9"/>
    </row>
    <row r="94">
      <c r="A94" s="9"/>
      <c r="B94" s="9"/>
      <c r="C94" s="9"/>
      <c r="D94" s="9"/>
      <c r="E94" s="9"/>
      <c r="F94" s="9"/>
      <c r="G94" s="9"/>
      <c r="H94" s="9"/>
      <c r="I94" s="9"/>
    </row>
    <row r="95">
      <c r="A95" s="9"/>
      <c r="B95" s="9"/>
      <c r="C95" s="9"/>
      <c r="D95" s="9"/>
      <c r="E95" s="9"/>
      <c r="F95" s="9"/>
      <c r="G95" s="9"/>
      <c r="H95" s="9"/>
      <c r="I95" s="9"/>
    </row>
    <row r="96">
      <c r="A96" s="9"/>
      <c r="B96" s="9"/>
      <c r="C96" s="9"/>
      <c r="D96" s="9"/>
      <c r="E96" s="9"/>
      <c r="F96" s="9"/>
      <c r="G96" s="9"/>
      <c r="H96" s="9"/>
      <c r="I96" s="9"/>
    </row>
    <row r="97">
      <c r="A97" s="9"/>
      <c r="B97" s="9"/>
      <c r="C97" s="9"/>
      <c r="D97" s="9"/>
      <c r="E97" s="9"/>
      <c r="F97" s="9"/>
      <c r="G97" s="9"/>
      <c r="H97" s="9"/>
      <c r="I97" s="9"/>
    </row>
    <row r="98">
      <c r="A98" s="9"/>
      <c r="B98" s="9"/>
      <c r="C98" s="9"/>
      <c r="D98" s="9"/>
      <c r="E98" s="9"/>
      <c r="F98" s="9"/>
      <c r="G98" s="9"/>
      <c r="H98" s="9"/>
      <c r="I98" s="9"/>
    </row>
    <row r="99">
      <c r="A99" s="9"/>
      <c r="B99" s="9"/>
      <c r="C99" s="9"/>
      <c r="D99" s="9"/>
      <c r="E99" s="9"/>
      <c r="F99" s="9"/>
      <c r="G99" s="9"/>
      <c r="H99" s="9"/>
      <c r="I99" s="9"/>
    </row>
    <row r="100">
      <c r="A100" s="9"/>
      <c r="B100" s="9"/>
      <c r="C100" s="9"/>
      <c r="D100" s="9"/>
      <c r="E100" s="9"/>
      <c r="F100" s="9"/>
      <c r="G100" s="9"/>
      <c r="H100" s="9"/>
      <c r="I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3" max="3" width="17.25"/>
  </cols>
  <sheetData>
    <row r="1">
      <c r="C1" s="3" t="s">
        <v>381</v>
      </c>
    </row>
    <row r="2">
      <c r="C2" s="9"/>
    </row>
    <row r="3">
      <c r="C3" s="9"/>
    </row>
    <row r="4">
      <c r="C4" s="9"/>
    </row>
    <row r="5">
      <c r="C5" s="9"/>
    </row>
    <row r="6">
      <c r="C6" s="9"/>
    </row>
    <row r="7">
      <c r="C7" s="9"/>
    </row>
    <row r="8">
      <c r="C8" s="9"/>
    </row>
    <row r="9">
      <c r="C9" s="9"/>
    </row>
    <row r="10">
      <c r="C10" s="9"/>
    </row>
    <row r="11"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0.13"/>
  </cols>
  <sheetData>
    <row r="1">
      <c r="A1" s="12" t="s">
        <v>382</v>
      </c>
      <c r="B1" s="9"/>
    </row>
    <row r="2">
      <c r="A2" s="4" t="s">
        <v>0</v>
      </c>
      <c r="B2" s="3" t="s">
        <v>266</v>
      </c>
    </row>
    <row r="3">
      <c r="A3" s="4" t="s">
        <v>383</v>
      </c>
      <c r="B3" s="3" t="s">
        <v>384</v>
      </c>
    </row>
    <row r="4">
      <c r="A4" s="4" t="s">
        <v>385</v>
      </c>
      <c r="B4" s="3" t="s">
        <v>386</v>
      </c>
    </row>
    <row r="5">
      <c r="A5" s="4" t="s">
        <v>376</v>
      </c>
      <c r="B5" s="3" t="s">
        <v>387</v>
      </c>
    </row>
    <row r="6">
      <c r="A6" s="4" t="s">
        <v>377</v>
      </c>
      <c r="B6" s="3" t="s">
        <v>388</v>
      </c>
    </row>
    <row r="7">
      <c r="A7" s="4" t="s">
        <v>378</v>
      </c>
      <c r="B7" s="3" t="s">
        <v>389</v>
      </c>
    </row>
    <row r="8">
      <c r="A8" s="4" t="s">
        <v>10</v>
      </c>
      <c r="B8" s="3" t="s">
        <v>390</v>
      </c>
    </row>
    <row r="9">
      <c r="A9" s="3" t="s">
        <v>391</v>
      </c>
      <c r="B9" s="3"/>
    </row>
    <row r="10">
      <c r="A10" s="4"/>
      <c r="B10" s="3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75"/>
  <cols>
    <col customWidth="1" min="1" max="1" width="31.63"/>
    <col customWidth="1" min="2" max="4" width="7.75"/>
    <col customWidth="1" min="5" max="26" width="7.63"/>
  </cols>
  <sheetData>
    <row r="1" ht="12.75" customHeight="1">
      <c r="A1" s="32" t="s">
        <v>0</v>
      </c>
      <c r="B1" s="33" t="s">
        <v>392</v>
      </c>
      <c r="C1" s="33" t="s">
        <v>393</v>
      </c>
      <c r="D1" s="33" t="s">
        <v>394</v>
      </c>
    </row>
    <row r="2" ht="12.75" customHeight="1">
      <c r="A2" s="32" t="s">
        <v>11</v>
      </c>
      <c r="B2" s="34" t="s">
        <v>395</v>
      </c>
      <c r="C2" s="35">
        <v>5472.0</v>
      </c>
      <c r="D2" s="35">
        <v>5279.0</v>
      </c>
    </row>
    <row r="3" ht="12.75" customHeight="1">
      <c r="A3" s="32" t="s">
        <v>11</v>
      </c>
      <c r="B3" s="36" t="s">
        <v>396</v>
      </c>
      <c r="C3" s="35">
        <v>6247.0</v>
      </c>
      <c r="D3" s="35">
        <v>5906.0</v>
      </c>
    </row>
    <row r="4" ht="12.75" customHeight="1">
      <c r="A4" s="32" t="s">
        <v>11</v>
      </c>
      <c r="B4" s="36" t="s">
        <v>397</v>
      </c>
      <c r="C4" s="35">
        <v>6241.0</v>
      </c>
      <c r="D4" s="35">
        <v>5985.0</v>
      </c>
    </row>
    <row r="5" ht="12.75" customHeight="1">
      <c r="A5" s="32" t="s">
        <v>11</v>
      </c>
      <c r="B5" s="36" t="s">
        <v>398</v>
      </c>
      <c r="C5" s="35">
        <v>6899.0</v>
      </c>
      <c r="D5" s="35">
        <v>6217.0</v>
      </c>
    </row>
    <row r="6" ht="12.75" customHeight="1">
      <c r="A6" s="32" t="s">
        <v>11</v>
      </c>
      <c r="B6" s="36" t="s">
        <v>399</v>
      </c>
      <c r="C6" s="35">
        <v>7351.0</v>
      </c>
      <c r="D6" s="35">
        <v>6931.0</v>
      </c>
    </row>
    <row r="7" ht="12.75" customHeight="1">
      <c r="A7" s="32" t="s">
        <v>11</v>
      </c>
      <c r="B7" s="36" t="s">
        <v>400</v>
      </c>
      <c r="C7" s="35">
        <v>7868.0</v>
      </c>
      <c r="D7" s="35">
        <v>7230.0</v>
      </c>
    </row>
    <row r="8" ht="12.75" customHeight="1">
      <c r="A8" s="32" t="s">
        <v>11</v>
      </c>
      <c r="B8" s="36" t="s">
        <v>401</v>
      </c>
      <c r="C8" s="35">
        <v>8846.0</v>
      </c>
      <c r="D8" s="35">
        <v>8464.0</v>
      </c>
    </row>
    <row r="9" ht="12.75" customHeight="1">
      <c r="A9" s="32" t="s">
        <v>11</v>
      </c>
      <c r="B9" s="36" t="s">
        <v>402</v>
      </c>
      <c r="C9" s="35">
        <v>9200.0</v>
      </c>
      <c r="D9" s="35">
        <v>8623.0</v>
      </c>
    </row>
    <row r="10" ht="12.75" customHeight="1">
      <c r="A10" s="32" t="s">
        <v>11</v>
      </c>
      <c r="B10" s="36" t="s">
        <v>403</v>
      </c>
      <c r="C10" s="35">
        <v>9186.0</v>
      </c>
      <c r="D10" s="35">
        <v>8943.0</v>
      </c>
    </row>
    <row r="11" ht="12.75" customHeight="1">
      <c r="A11" s="32" t="s">
        <v>11</v>
      </c>
      <c r="B11" s="36" t="s">
        <v>404</v>
      </c>
      <c r="C11" s="35">
        <v>9412.0</v>
      </c>
      <c r="D11" s="35">
        <v>8816.0</v>
      </c>
    </row>
    <row r="12" ht="12.75" customHeight="1">
      <c r="A12" s="32" t="s">
        <v>11</v>
      </c>
      <c r="B12" s="36" t="s">
        <v>405</v>
      </c>
      <c r="C12" s="35">
        <v>9398.0</v>
      </c>
      <c r="D12" s="35">
        <v>8850.0</v>
      </c>
    </row>
    <row r="13" ht="12.75" customHeight="1">
      <c r="A13" s="32" t="s">
        <v>11</v>
      </c>
      <c r="B13" s="36" t="s">
        <v>406</v>
      </c>
      <c r="C13" s="35">
        <v>9060.0</v>
      </c>
      <c r="D13" s="35">
        <v>8458.0</v>
      </c>
    </row>
    <row r="14" ht="12.75" customHeight="1">
      <c r="A14" s="32" t="s">
        <v>11</v>
      </c>
      <c r="B14" s="36" t="s">
        <v>407</v>
      </c>
      <c r="C14" s="35">
        <v>8542.0</v>
      </c>
      <c r="D14" s="35">
        <v>8119.0</v>
      </c>
    </row>
    <row r="15" ht="12.75" customHeight="1">
      <c r="A15" s="32" t="s">
        <v>11</v>
      </c>
      <c r="B15" s="36" t="s">
        <v>408</v>
      </c>
      <c r="C15" s="35">
        <v>8781.0</v>
      </c>
      <c r="D15" s="35">
        <v>8349.0</v>
      </c>
    </row>
    <row r="16" ht="12.75" customHeight="1">
      <c r="A16" s="37" t="s">
        <v>11</v>
      </c>
      <c r="B16" s="38" t="s">
        <v>409</v>
      </c>
      <c r="C16" s="39">
        <v>8895.0</v>
      </c>
      <c r="D16" s="39">
        <v>8604.0</v>
      </c>
    </row>
    <row r="17" ht="12.75" customHeight="1">
      <c r="A17" s="32" t="s">
        <v>14</v>
      </c>
      <c r="B17" s="34" t="s">
        <v>395</v>
      </c>
      <c r="C17" s="35">
        <v>4167.0</v>
      </c>
      <c r="D17" s="35">
        <v>4053.0</v>
      </c>
    </row>
    <row r="18" ht="12.75" customHeight="1">
      <c r="A18" s="32" t="s">
        <v>14</v>
      </c>
      <c r="B18" s="34">
        <v>1.0</v>
      </c>
      <c r="C18" s="35">
        <v>4744.0</v>
      </c>
      <c r="D18" s="35">
        <v>4337.0</v>
      </c>
    </row>
    <row r="19" ht="12.75" customHeight="1">
      <c r="A19" s="32" t="s">
        <v>14</v>
      </c>
      <c r="B19" s="34">
        <v>2.0</v>
      </c>
      <c r="C19" s="35">
        <v>5028.0</v>
      </c>
      <c r="D19" s="35">
        <v>4679.0</v>
      </c>
    </row>
    <row r="20" ht="12.75" customHeight="1">
      <c r="A20" s="32" t="s">
        <v>14</v>
      </c>
      <c r="B20" s="34">
        <v>3.0</v>
      </c>
      <c r="C20" s="35">
        <v>5206.0</v>
      </c>
      <c r="D20" s="35">
        <v>4979.0</v>
      </c>
    </row>
    <row r="21" ht="12.75" customHeight="1">
      <c r="A21" s="32" t="s">
        <v>14</v>
      </c>
      <c r="B21" s="34">
        <v>4.0</v>
      </c>
      <c r="C21" s="35">
        <v>5814.0</v>
      </c>
      <c r="D21" s="35">
        <v>5529.0</v>
      </c>
    </row>
    <row r="22" ht="12.75" customHeight="1">
      <c r="A22" s="32" t="s">
        <v>14</v>
      </c>
      <c r="B22" s="34">
        <v>5.0</v>
      </c>
      <c r="C22" s="35">
        <v>5999.0</v>
      </c>
      <c r="D22" s="35">
        <v>5745.0</v>
      </c>
    </row>
    <row r="23" ht="12.75" customHeight="1">
      <c r="A23" s="32" t="s">
        <v>14</v>
      </c>
      <c r="B23" s="34">
        <v>6.0</v>
      </c>
      <c r="C23" s="35">
        <v>6944.0</v>
      </c>
      <c r="D23" s="35">
        <v>6706.0</v>
      </c>
    </row>
    <row r="24" ht="12.75" customHeight="1">
      <c r="A24" s="32" t="s">
        <v>14</v>
      </c>
      <c r="B24" s="34">
        <v>7.0</v>
      </c>
      <c r="C24" s="35">
        <v>7467.0</v>
      </c>
      <c r="D24" s="35">
        <v>6845.0</v>
      </c>
    </row>
    <row r="25" ht="12.75" customHeight="1">
      <c r="A25" s="32" t="s">
        <v>14</v>
      </c>
      <c r="B25" s="34">
        <v>8.0</v>
      </c>
      <c r="C25" s="35">
        <v>6850.0</v>
      </c>
      <c r="D25" s="35">
        <v>6369.0</v>
      </c>
    </row>
    <row r="26" ht="12.75" customHeight="1">
      <c r="A26" s="32" t="s">
        <v>14</v>
      </c>
      <c r="B26" s="34">
        <v>9.0</v>
      </c>
      <c r="C26" s="35">
        <v>6952.0</v>
      </c>
      <c r="D26" s="35">
        <v>6580.0</v>
      </c>
    </row>
    <row r="27" ht="12.75" customHeight="1">
      <c r="A27" s="32" t="s">
        <v>14</v>
      </c>
      <c r="B27" s="34">
        <v>10.0</v>
      </c>
      <c r="C27" s="35">
        <v>7094.0</v>
      </c>
      <c r="D27" s="35">
        <v>6963.0</v>
      </c>
    </row>
    <row r="28" ht="12.75" customHeight="1">
      <c r="A28" s="32" t="s">
        <v>14</v>
      </c>
      <c r="B28" s="34">
        <v>11.0</v>
      </c>
      <c r="C28" s="35">
        <v>7033.0</v>
      </c>
      <c r="D28" s="35">
        <v>6547.0</v>
      </c>
    </row>
    <row r="29" ht="12.75" customHeight="1">
      <c r="A29" s="32" t="s">
        <v>14</v>
      </c>
      <c r="B29" s="34">
        <v>12.0</v>
      </c>
      <c r="C29" s="35">
        <v>6588.0</v>
      </c>
      <c r="D29" s="35">
        <v>6571.0</v>
      </c>
    </row>
    <row r="30" ht="12.75" customHeight="1">
      <c r="A30" s="32" t="s">
        <v>14</v>
      </c>
      <c r="B30" s="34">
        <v>13.0</v>
      </c>
      <c r="C30" s="35">
        <v>6982.0</v>
      </c>
      <c r="D30" s="35">
        <v>6599.0</v>
      </c>
    </row>
    <row r="31" ht="12.75" customHeight="1">
      <c r="A31" s="32" t="s">
        <v>14</v>
      </c>
      <c r="B31" s="34">
        <v>14.0</v>
      </c>
      <c r="C31" s="35">
        <v>7290.0</v>
      </c>
      <c r="D31" s="35">
        <v>6843.0</v>
      </c>
    </row>
    <row r="32" ht="12.75" customHeight="1">
      <c r="A32" s="32" t="s">
        <v>17</v>
      </c>
      <c r="B32" s="34" t="s">
        <v>395</v>
      </c>
      <c r="C32" s="35">
        <v>4520.0</v>
      </c>
      <c r="D32" s="35">
        <v>4215.0</v>
      </c>
    </row>
    <row r="33" ht="12.75" customHeight="1">
      <c r="A33" s="32" t="s">
        <v>17</v>
      </c>
      <c r="B33" s="34">
        <v>1.0</v>
      </c>
      <c r="C33" s="35">
        <v>4971.0</v>
      </c>
      <c r="D33" s="35">
        <v>4721.0</v>
      </c>
    </row>
    <row r="34" ht="12.75" customHeight="1">
      <c r="A34" s="32" t="s">
        <v>17</v>
      </c>
      <c r="B34" s="34">
        <v>2.0</v>
      </c>
      <c r="C34" s="35">
        <v>5192.0</v>
      </c>
      <c r="D34" s="35">
        <v>4737.0</v>
      </c>
    </row>
    <row r="35" ht="12.75" customHeight="1">
      <c r="A35" s="32" t="s">
        <v>17</v>
      </c>
      <c r="B35" s="34">
        <v>3.0</v>
      </c>
      <c r="C35" s="35">
        <v>5600.0</v>
      </c>
      <c r="D35" s="35">
        <v>5371.0</v>
      </c>
    </row>
    <row r="36" ht="12.75" customHeight="1">
      <c r="A36" s="32" t="s">
        <v>17</v>
      </c>
      <c r="B36" s="34">
        <v>4.0</v>
      </c>
      <c r="C36" s="35">
        <v>6335.0</v>
      </c>
      <c r="D36" s="35">
        <v>6198.0</v>
      </c>
    </row>
    <row r="37" ht="12.75" customHeight="1">
      <c r="A37" s="32" t="s">
        <v>17</v>
      </c>
      <c r="B37" s="34">
        <v>5.0</v>
      </c>
      <c r="C37" s="35">
        <v>6659.0</v>
      </c>
      <c r="D37" s="35">
        <v>6366.0</v>
      </c>
    </row>
    <row r="38" ht="12.75" customHeight="1">
      <c r="A38" s="32" t="s">
        <v>17</v>
      </c>
      <c r="B38" s="34">
        <v>6.0</v>
      </c>
      <c r="C38" s="35">
        <v>8008.0</v>
      </c>
      <c r="D38" s="35">
        <v>7355.0</v>
      </c>
    </row>
    <row r="39" ht="12.75" customHeight="1">
      <c r="A39" s="32" t="s">
        <v>17</v>
      </c>
      <c r="B39" s="34">
        <v>7.0</v>
      </c>
      <c r="C39" s="35">
        <v>8084.0</v>
      </c>
      <c r="D39" s="35">
        <v>7689.0</v>
      </c>
    </row>
    <row r="40" ht="12.75" customHeight="1">
      <c r="A40" s="32" t="s">
        <v>17</v>
      </c>
      <c r="B40" s="34">
        <v>8.0</v>
      </c>
      <c r="C40" s="35">
        <v>7775.0</v>
      </c>
      <c r="D40" s="35">
        <v>7380.0</v>
      </c>
    </row>
    <row r="41" ht="12.75" customHeight="1">
      <c r="A41" s="32" t="s">
        <v>17</v>
      </c>
      <c r="B41" s="34">
        <v>9.0</v>
      </c>
      <c r="C41" s="35">
        <v>7836.0</v>
      </c>
      <c r="D41" s="35">
        <v>7322.0</v>
      </c>
    </row>
    <row r="42" ht="12.75" customHeight="1">
      <c r="A42" s="32" t="s">
        <v>17</v>
      </c>
      <c r="B42" s="34">
        <v>10.0</v>
      </c>
      <c r="C42" s="35">
        <v>8204.0</v>
      </c>
      <c r="D42" s="35">
        <v>7710.0</v>
      </c>
    </row>
    <row r="43" ht="12.75" customHeight="1">
      <c r="A43" s="32" t="s">
        <v>17</v>
      </c>
      <c r="B43" s="34">
        <v>11.0</v>
      </c>
      <c r="C43" s="35">
        <v>7723.0</v>
      </c>
      <c r="D43" s="35">
        <v>7346.0</v>
      </c>
    </row>
    <row r="44" ht="12.75" customHeight="1">
      <c r="A44" s="32" t="s">
        <v>17</v>
      </c>
      <c r="B44" s="34">
        <v>12.0</v>
      </c>
      <c r="C44" s="35">
        <v>7428.0</v>
      </c>
      <c r="D44" s="35">
        <v>7136.0</v>
      </c>
    </row>
    <row r="45" ht="12.75" customHeight="1">
      <c r="A45" s="32" t="s">
        <v>17</v>
      </c>
      <c r="B45" s="34">
        <v>13.0</v>
      </c>
      <c r="C45" s="35">
        <v>7571.0</v>
      </c>
      <c r="D45" s="35">
        <v>7007.0</v>
      </c>
    </row>
    <row r="46" ht="12.75" customHeight="1">
      <c r="A46" s="37" t="s">
        <v>17</v>
      </c>
      <c r="B46" s="40">
        <v>14.0</v>
      </c>
      <c r="C46" s="39">
        <v>7540.0</v>
      </c>
      <c r="D46" s="39">
        <v>7084.0</v>
      </c>
    </row>
    <row r="47" ht="12.75" customHeight="1">
      <c r="A47" s="32" t="s">
        <v>20</v>
      </c>
      <c r="B47" s="34" t="s">
        <v>395</v>
      </c>
      <c r="C47" s="35">
        <v>8928.0</v>
      </c>
      <c r="D47" s="35">
        <v>8249.0</v>
      </c>
    </row>
    <row r="48" ht="12.75" customHeight="1">
      <c r="A48" s="32" t="s">
        <v>20</v>
      </c>
      <c r="B48" s="34">
        <v>1.0</v>
      </c>
      <c r="C48" s="35">
        <v>9565.0</v>
      </c>
      <c r="D48" s="35">
        <v>9022.0</v>
      </c>
    </row>
    <row r="49" ht="12.75" customHeight="1">
      <c r="A49" s="32" t="s">
        <v>20</v>
      </c>
      <c r="B49" s="34">
        <v>2.0</v>
      </c>
      <c r="C49" s="35">
        <v>9777.0</v>
      </c>
      <c r="D49" s="35">
        <v>9372.0</v>
      </c>
    </row>
    <row r="50" ht="12.75" customHeight="1">
      <c r="A50" s="32" t="s">
        <v>20</v>
      </c>
      <c r="B50" s="34">
        <v>3.0</v>
      </c>
      <c r="C50" s="35">
        <v>10240.0</v>
      </c>
      <c r="D50" s="35">
        <v>9479.0</v>
      </c>
    </row>
    <row r="51" ht="12.75" customHeight="1">
      <c r="A51" s="32" t="s">
        <v>20</v>
      </c>
      <c r="B51" s="34">
        <v>4.0</v>
      </c>
      <c r="C51" s="35">
        <v>11077.0</v>
      </c>
      <c r="D51" s="35">
        <v>10584.0</v>
      </c>
    </row>
    <row r="52" ht="12.75" customHeight="1">
      <c r="A52" s="32" t="s">
        <v>20</v>
      </c>
      <c r="B52" s="34">
        <v>5.0</v>
      </c>
      <c r="C52" s="35">
        <v>11646.0</v>
      </c>
      <c r="D52" s="35">
        <v>11032.0</v>
      </c>
    </row>
    <row r="53" ht="12.75" customHeight="1">
      <c r="A53" s="32" t="s">
        <v>20</v>
      </c>
      <c r="B53" s="34">
        <v>6.0</v>
      </c>
      <c r="C53" s="35">
        <v>13038.0</v>
      </c>
      <c r="D53" s="35">
        <v>12263.0</v>
      </c>
    </row>
    <row r="54" ht="12.75" customHeight="1">
      <c r="A54" s="32" t="s">
        <v>20</v>
      </c>
      <c r="B54" s="34">
        <v>7.0</v>
      </c>
      <c r="C54" s="35">
        <v>13617.0</v>
      </c>
      <c r="D54" s="35">
        <v>12717.0</v>
      </c>
    </row>
    <row r="55" ht="12.75" customHeight="1">
      <c r="A55" s="32" t="s">
        <v>20</v>
      </c>
      <c r="B55" s="34">
        <v>8.0</v>
      </c>
      <c r="C55" s="35">
        <v>13253.0</v>
      </c>
      <c r="D55" s="35">
        <v>12645.0</v>
      </c>
    </row>
    <row r="56" ht="12.75" customHeight="1">
      <c r="A56" s="32" t="s">
        <v>20</v>
      </c>
      <c r="B56" s="34">
        <v>9.0</v>
      </c>
      <c r="C56" s="35">
        <v>13054.0</v>
      </c>
      <c r="D56" s="35">
        <v>12621.0</v>
      </c>
    </row>
    <row r="57" ht="12.75" customHeight="1">
      <c r="A57" s="32" t="s">
        <v>20</v>
      </c>
      <c r="B57" s="34">
        <v>10.0</v>
      </c>
      <c r="C57" s="35">
        <v>13451.0</v>
      </c>
      <c r="D57" s="35">
        <v>12847.0</v>
      </c>
    </row>
    <row r="58" ht="12.75" customHeight="1">
      <c r="A58" s="32" t="s">
        <v>20</v>
      </c>
      <c r="B58" s="34">
        <v>11.0</v>
      </c>
      <c r="C58" s="35">
        <v>12607.0</v>
      </c>
      <c r="D58" s="35">
        <v>12132.0</v>
      </c>
    </row>
    <row r="59" ht="12.75" customHeight="1">
      <c r="A59" s="32" t="s">
        <v>20</v>
      </c>
      <c r="B59" s="34">
        <v>12.0</v>
      </c>
      <c r="C59" s="35">
        <v>12342.0</v>
      </c>
      <c r="D59" s="35">
        <v>11513.0</v>
      </c>
    </row>
    <row r="60" ht="12.75" customHeight="1">
      <c r="A60" s="32" t="s">
        <v>20</v>
      </c>
      <c r="B60" s="34">
        <v>13.0</v>
      </c>
      <c r="C60" s="35">
        <v>12329.0</v>
      </c>
      <c r="D60" s="35">
        <v>11780.0</v>
      </c>
    </row>
    <row r="61" ht="12.75" customHeight="1">
      <c r="A61" s="32" t="s">
        <v>20</v>
      </c>
      <c r="B61" s="34">
        <v>14.0</v>
      </c>
      <c r="C61" s="35">
        <v>12063.0</v>
      </c>
      <c r="D61" s="35">
        <v>11263.0</v>
      </c>
    </row>
    <row r="62" ht="12.75" customHeight="1">
      <c r="A62" s="32" t="s">
        <v>23</v>
      </c>
      <c r="B62" s="34" t="s">
        <v>395</v>
      </c>
      <c r="C62" s="35">
        <v>3579.0</v>
      </c>
      <c r="D62" s="35">
        <v>3270.0</v>
      </c>
    </row>
    <row r="63" ht="12.75" customHeight="1">
      <c r="A63" s="32" t="s">
        <v>23</v>
      </c>
      <c r="B63" s="34">
        <v>1.0</v>
      </c>
      <c r="C63" s="35">
        <v>3551.0</v>
      </c>
      <c r="D63" s="35">
        <v>3246.0</v>
      </c>
    </row>
    <row r="64" ht="12.75" customHeight="1">
      <c r="A64" s="32" t="s">
        <v>23</v>
      </c>
      <c r="B64" s="34">
        <v>2.0</v>
      </c>
      <c r="C64" s="35">
        <v>3655.0</v>
      </c>
      <c r="D64" s="35">
        <v>3247.0</v>
      </c>
    </row>
    <row r="65" ht="12.75" customHeight="1">
      <c r="A65" s="32" t="s">
        <v>23</v>
      </c>
      <c r="B65" s="34">
        <v>3.0</v>
      </c>
      <c r="C65" s="35">
        <v>3846.0</v>
      </c>
      <c r="D65" s="35">
        <v>3508.0</v>
      </c>
    </row>
    <row r="66" ht="12.75" customHeight="1">
      <c r="A66" s="32" t="s">
        <v>23</v>
      </c>
      <c r="B66" s="34">
        <v>4.0</v>
      </c>
      <c r="C66" s="35">
        <v>4268.0</v>
      </c>
      <c r="D66" s="35">
        <v>4054.0</v>
      </c>
    </row>
    <row r="67" ht="12.75" customHeight="1">
      <c r="A67" s="32" t="s">
        <v>23</v>
      </c>
      <c r="B67" s="34">
        <v>5.0</v>
      </c>
      <c r="C67" s="35">
        <v>4877.0</v>
      </c>
      <c r="D67" s="35">
        <v>4234.0</v>
      </c>
    </row>
    <row r="68" ht="12.75" customHeight="1">
      <c r="A68" s="32" t="s">
        <v>23</v>
      </c>
      <c r="B68" s="34">
        <v>6.0</v>
      </c>
      <c r="C68" s="35">
        <v>5355.0</v>
      </c>
      <c r="D68" s="35">
        <v>4820.0</v>
      </c>
    </row>
    <row r="69" ht="12.75" customHeight="1">
      <c r="A69" s="32" t="s">
        <v>23</v>
      </c>
      <c r="B69" s="34">
        <v>7.0</v>
      </c>
      <c r="C69" s="35">
        <v>5407.0</v>
      </c>
      <c r="D69" s="35">
        <v>5050.0</v>
      </c>
    </row>
    <row r="70" ht="12.75" customHeight="1">
      <c r="A70" s="32" t="s">
        <v>23</v>
      </c>
      <c r="B70" s="34">
        <v>8.0</v>
      </c>
      <c r="C70" s="35">
        <v>5370.0</v>
      </c>
      <c r="D70" s="35">
        <v>5064.0</v>
      </c>
    </row>
    <row r="71" ht="12.75" customHeight="1">
      <c r="A71" s="32" t="s">
        <v>23</v>
      </c>
      <c r="B71" s="34">
        <v>9.0</v>
      </c>
      <c r="C71" s="35">
        <v>5425.0</v>
      </c>
      <c r="D71" s="35">
        <v>5255.0</v>
      </c>
    </row>
    <row r="72" ht="12.75" customHeight="1">
      <c r="A72" s="32" t="s">
        <v>23</v>
      </c>
      <c r="B72" s="34">
        <v>10.0</v>
      </c>
      <c r="C72" s="35">
        <v>5470.0</v>
      </c>
      <c r="D72" s="35">
        <v>5063.0</v>
      </c>
    </row>
    <row r="73" ht="12.75" customHeight="1">
      <c r="A73" s="32" t="s">
        <v>23</v>
      </c>
      <c r="B73" s="34">
        <v>11.0</v>
      </c>
      <c r="C73" s="35">
        <v>5200.0</v>
      </c>
      <c r="D73" s="35">
        <v>4746.0</v>
      </c>
    </row>
    <row r="74" ht="12.75" customHeight="1">
      <c r="A74" s="32" t="s">
        <v>23</v>
      </c>
      <c r="B74" s="34">
        <v>12.0</v>
      </c>
      <c r="C74" s="35">
        <v>5048.0</v>
      </c>
      <c r="D74" s="35">
        <v>4937.0</v>
      </c>
    </row>
    <row r="75" ht="12.75" customHeight="1">
      <c r="A75" s="32" t="s">
        <v>23</v>
      </c>
      <c r="B75" s="34">
        <v>13.0</v>
      </c>
      <c r="C75" s="35">
        <v>5347.0</v>
      </c>
      <c r="D75" s="35">
        <v>4877.0</v>
      </c>
    </row>
    <row r="76" ht="12.75" customHeight="1">
      <c r="A76" s="32" t="s">
        <v>23</v>
      </c>
      <c r="B76" s="34">
        <v>14.0</v>
      </c>
      <c r="C76" s="35">
        <v>5110.0</v>
      </c>
      <c r="D76" s="35">
        <v>4969.0</v>
      </c>
    </row>
    <row r="77" ht="12.75" customHeight="1">
      <c r="A77" s="32" t="s">
        <v>29</v>
      </c>
      <c r="B77" s="34" t="s">
        <v>395</v>
      </c>
      <c r="C77" s="35">
        <v>4375.0</v>
      </c>
      <c r="D77" s="35">
        <v>4114.0</v>
      </c>
    </row>
    <row r="78" ht="12.75" customHeight="1">
      <c r="A78" s="32" t="s">
        <v>29</v>
      </c>
      <c r="B78" s="34">
        <v>1.0</v>
      </c>
      <c r="C78" s="35">
        <v>4656.0</v>
      </c>
      <c r="D78" s="35">
        <v>4434.0</v>
      </c>
    </row>
    <row r="79" ht="12.75" customHeight="1">
      <c r="A79" s="32" t="s">
        <v>29</v>
      </c>
      <c r="B79" s="34">
        <v>2.0</v>
      </c>
      <c r="C79" s="35">
        <v>4957.0</v>
      </c>
      <c r="D79" s="35">
        <v>4639.0</v>
      </c>
    </row>
    <row r="80" ht="12.75" customHeight="1">
      <c r="A80" s="32" t="s">
        <v>29</v>
      </c>
      <c r="B80" s="34">
        <v>3.0</v>
      </c>
      <c r="C80" s="35">
        <v>5058.0</v>
      </c>
      <c r="D80" s="35">
        <v>4670.0</v>
      </c>
    </row>
    <row r="81" ht="12.75" customHeight="1">
      <c r="A81" s="32" t="s">
        <v>29</v>
      </c>
      <c r="B81" s="34">
        <v>4.0</v>
      </c>
      <c r="C81" s="35">
        <v>5737.0</v>
      </c>
      <c r="D81" s="35">
        <v>5552.0</v>
      </c>
    </row>
    <row r="82" ht="12.75" customHeight="1">
      <c r="A82" s="32" t="s">
        <v>29</v>
      </c>
      <c r="B82" s="34">
        <v>5.0</v>
      </c>
      <c r="C82" s="35">
        <v>6012.0</v>
      </c>
      <c r="D82" s="35">
        <v>5712.0</v>
      </c>
    </row>
    <row r="83" ht="12.75" customHeight="1">
      <c r="A83" s="32" t="s">
        <v>29</v>
      </c>
      <c r="B83" s="34">
        <v>6.0</v>
      </c>
      <c r="C83" s="35">
        <v>6617.0</v>
      </c>
      <c r="D83" s="35">
        <v>6442.0</v>
      </c>
    </row>
    <row r="84" ht="12.75" customHeight="1">
      <c r="A84" s="32" t="s">
        <v>29</v>
      </c>
      <c r="B84" s="34">
        <v>7.0</v>
      </c>
      <c r="C84" s="35">
        <v>6857.0</v>
      </c>
      <c r="D84" s="35">
        <v>6510.0</v>
      </c>
    </row>
    <row r="85" ht="12.75" customHeight="1">
      <c r="A85" s="32" t="s">
        <v>29</v>
      </c>
      <c r="B85" s="34">
        <v>8.0</v>
      </c>
      <c r="C85" s="35">
        <v>6299.0</v>
      </c>
      <c r="D85" s="35">
        <v>5991.0</v>
      </c>
    </row>
    <row r="86" ht="12.75" customHeight="1">
      <c r="A86" s="32" t="s">
        <v>29</v>
      </c>
      <c r="B86" s="34">
        <v>9.0</v>
      </c>
      <c r="C86" s="35">
        <v>6214.0</v>
      </c>
      <c r="D86" s="35">
        <v>5977.0</v>
      </c>
    </row>
    <row r="87" ht="12.75" customHeight="1">
      <c r="A87" s="32" t="s">
        <v>29</v>
      </c>
      <c r="B87" s="34">
        <v>10.0</v>
      </c>
      <c r="C87" s="35">
        <v>6345.0</v>
      </c>
      <c r="D87" s="35">
        <v>6061.0</v>
      </c>
    </row>
    <row r="88" ht="12.75" customHeight="1">
      <c r="A88" s="32" t="s">
        <v>29</v>
      </c>
      <c r="B88" s="34">
        <v>11.0</v>
      </c>
      <c r="C88" s="35">
        <v>5941.0</v>
      </c>
      <c r="D88" s="35">
        <v>5724.0</v>
      </c>
    </row>
    <row r="89" ht="12.75" customHeight="1">
      <c r="A89" s="32" t="s">
        <v>29</v>
      </c>
      <c r="B89" s="34">
        <v>12.0</v>
      </c>
      <c r="C89" s="35">
        <v>6005.0</v>
      </c>
      <c r="D89" s="35">
        <v>5959.0</v>
      </c>
    </row>
    <row r="90" ht="12.75" customHeight="1">
      <c r="A90" s="32" t="s">
        <v>29</v>
      </c>
      <c r="B90" s="34">
        <v>13.0</v>
      </c>
      <c r="C90" s="35">
        <v>5791.0</v>
      </c>
      <c r="D90" s="35">
        <v>5408.0</v>
      </c>
    </row>
    <row r="91" ht="12.75" customHeight="1">
      <c r="A91" s="32" t="s">
        <v>29</v>
      </c>
      <c r="B91" s="34">
        <v>14.0</v>
      </c>
      <c r="C91" s="35">
        <v>5739.0</v>
      </c>
      <c r="D91" s="35">
        <v>5340.0</v>
      </c>
    </row>
    <row r="92" ht="12.75" customHeight="1">
      <c r="A92" s="32" t="s">
        <v>32</v>
      </c>
      <c r="B92" s="34" t="s">
        <v>395</v>
      </c>
      <c r="C92" s="35">
        <v>2248.0</v>
      </c>
      <c r="D92" s="35">
        <v>2247.0</v>
      </c>
    </row>
    <row r="93" ht="12.75" customHeight="1">
      <c r="A93" s="32" t="s">
        <v>32</v>
      </c>
      <c r="B93" s="34">
        <v>1.0</v>
      </c>
      <c r="C93" s="35">
        <v>2598.0</v>
      </c>
      <c r="D93" s="35">
        <v>2322.0</v>
      </c>
    </row>
    <row r="94" ht="12.75" customHeight="1">
      <c r="A94" s="32" t="s">
        <v>32</v>
      </c>
      <c r="B94" s="34">
        <v>2.0</v>
      </c>
      <c r="C94" s="35">
        <v>2540.0</v>
      </c>
      <c r="D94" s="35">
        <v>2539.0</v>
      </c>
    </row>
    <row r="95" ht="12.75" customHeight="1">
      <c r="A95" s="32" t="s">
        <v>32</v>
      </c>
      <c r="B95" s="34">
        <v>3.0</v>
      </c>
      <c r="C95" s="35">
        <v>2812.0</v>
      </c>
      <c r="D95" s="35">
        <v>2660.0</v>
      </c>
    </row>
    <row r="96" ht="12.75" customHeight="1">
      <c r="A96" s="32" t="s">
        <v>32</v>
      </c>
      <c r="B96" s="34">
        <v>4.0</v>
      </c>
      <c r="C96" s="35">
        <v>2978.0</v>
      </c>
      <c r="D96" s="35">
        <v>2756.0</v>
      </c>
    </row>
    <row r="97" ht="12.75" customHeight="1">
      <c r="A97" s="32" t="s">
        <v>32</v>
      </c>
      <c r="B97" s="34">
        <v>5.0</v>
      </c>
      <c r="C97" s="35">
        <v>3344.0</v>
      </c>
      <c r="D97" s="35">
        <v>3165.0</v>
      </c>
    </row>
    <row r="98" ht="12.75" customHeight="1">
      <c r="A98" s="32" t="s">
        <v>32</v>
      </c>
      <c r="B98" s="34">
        <v>6.0</v>
      </c>
      <c r="C98" s="35">
        <v>3713.0</v>
      </c>
      <c r="D98" s="35">
        <v>3561.0</v>
      </c>
    </row>
    <row r="99" ht="12.75" customHeight="1">
      <c r="A99" s="32" t="s">
        <v>32</v>
      </c>
      <c r="B99" s="34">
        <v>7.0</v>
      </c>
      <c r="C99" s="35">
        <v>3859.0</v>
      </c>
      <c r="D99" s="35">
        <v>3717.0</v>
      </c>
    </row>
    <row r="100" ht="12.75" customHeight="1">
      <c r="A100" s="32" t="s">
        <v>32</v>
      </c>
      <c r="B100" s="34">
        <v>8.0</v>
      </c>
      <c r="C100" s="35">
        <v>3974.0</v>
      </c>
      <c r="D100" s="35">
        <v>3737.0</v>
      </c>
    </row>
    <row r="101" ht="12.75" customHeight="1">
      <c r="A101" s="32" t="s">
        <v>32</v>
      </c>
      <c r="B101" s="34">
        <v>9.0</v>
      </c>
      <c r="C101" s="35">
        <v>4020.0</v>
      </c>
      <c r="D101" s="35">
        <v>3837.0</v>
      </c>
    </row>
    <row r="102" ht="12.75" customHeight="1">
      <c r="A102" s="32" t="s">
        <v>32</v>
      </c>
      <c r="B102" s="34">
        <v>10.0</v>
      </c>
      <c r="C102" s="35">
        <v>4062.0</v>
      </c>
      <c r="D102" s="35">
        <v>4002.0</v>
      </c>
    </row>
    <row r="103" ht="12.75" customHeight="1">
      <c r="A103" s="32" t="s">
        <v>32</v>
      </c>
      <c r="B103" s="34">
        <v>11.0</v>
      </c>
      <c r="C103" s="35">
        <v>3978.0</v>
      </c>
      <c r="D103" s="35">
        <v>3633.0</v>
      </c>
    </row>
    <row r="104" ht="12.75" customHeight="1">
      <c r="A104" s="32" t="s">
        <v>32</v>
      </c>
      <c r="B104" s="34">
        <v>12.0</v>
      </c>
      <c r="C104" s="35">
        <v>3632.0</v>
      </c>
      <c r="D104" s="35">
        <v>3563.0</v>
      </c>
    </row>
    <row r="105" ht="12.75" customHeight="1">
      <c r="A105" s="32" t="s">
        <v>32</v>
      </c>
      <c r="B105" s="34">
        <v>13.0</v>
      </c>
      <c r="C105" s="35">
        <v>3626.0</v>
      </c>
      <c r="D105" s="35">
        <v>3528.0</v>
      </c>
    </row>
    <row r="106" ht="12.75" customHeight="1">
      <c r="A106" s="32" t="s">
        <v>32</v>
      </c>
      <c r="B106" s="34">
        <v>14.0</v>
      </c>
      <c r="C106" s="35">
        <v>3473.0</v>
      </c>
      <c r="D106" s="35">
        <v>3315.0</v>
      </c>
    </row>
    <row r="107" ht="12.75" customHeight="1">
      <c r="A107" s="37" t="s">
        <v>35</v>
      </c>
      <c r="B107" s="34" t="s">
        <v>395</v>
      </c>
      <c r="C107" s="35">
        <v>4190.0</v>
      </c>
      <c r="D107" s="35">
        <v>3790.0</v>
      </c>
    </row>
    <row r="108" ht="12.75" customHeight="1">
      <c r="A108" s="37" t="s">
        <v>35</v>
      </c>
      <c r="B108" s="34">
        <v>1.0</v>
      </c>
      <c r="C108" s="35">
        <v>4522.0</v>
      </c>
      <c r="D108" s="35">
        <v>4310.0</v>
      </c>
    </row>
    <row r="109" ht="12.75" customHeight="1">
      <c r="A109" s="37" t="s">
        <v>35</v>
      </c>
      <c r="B109" s="34">
        <v>2.0</v>
      </c>
      <c r="C109" s="35">
        <v>4763.0</v>
      </c>
      <c r="D109" s="35">
        <v>4403.0</v>
      </c>
    </row>
    <row r="110" ht="12.75" customHeight="1">
      <c r="A110" s="37" t="s">
        <v>35</v>
      </c>
      <c r="B110" s="34">
        <v>3.0</v>
      </c>
      <c r="C110" s="35">
        <v>4809.0</v>
      </c>
      <c r="D110" s="35">
        <v>4518.0</v>
      </c>
    </row>
    <row r="111" ht="12.75" customHeight="1">
      <c r="A111" s="37" t="s">
        <v>35</v>
      </c>
      <c r="B111" s="34">
        <v>4.0</v>
      </c>
      <c r="C111" s="35">
        <v>5322.0</v>
      </c>
      <c r="D111" s="35">
        <v>5080.0</v>
      </c>
    </row>
    <row r="112" ht="12.75" customHeight="1">
      <c r="A112" s="37" t="s">
        <v>35</v>
      </c>
      <c r="B112" s="34">
        <v>5.0</v>
      </c>
      <c r="C112" s="35">
        <v>5568.0</v>
      </c>
      <c r="D112" s="35">
        <v>5248.0</v>
      </c>
    </row>
    <row r="113" ht="12.75" customHeight="1">
      <c r="A113" s="37" t="s">
        <v>35</v>
      </c>
      <c r="B113" s="34">
        <v>6.0</v>
      </c>
      <c r="C113" s="35">
        <v>6481.0</v>
      </c>
      <c r="D113" s="35">
        <v>6179.0</v>
      </c>
    </row>
    <row r="114" ht="12.75" customHeight="1">
      <c r="A114" s="37" t="s">
        <v>35</v>
      </c>
      <c r="B114" s="34">
        <v>7.0</v>
      </c>
      <c r="C114" s="35">
        <v>6646.0</v>
      </c>
      <c r="D114" s="35">
        <v>6505.0</v>
      </c>
    </row>
    <row r="115" ht="12.75" customHeight="1">
      <c r="A115" s="37" t="s">
        <v>35</v>
      </c>
      <c r="B115" s="34">
        <v>8.0</v>
      </c>
      <c r="C115" s="35">
        <v>6832.0</v>
      </c>
      <c r="D115" s="35">
        <v>6389.0</v>
      </c>
    </row>
    <row r="116" ht="12.75" customHeight="1">
      <c r="A116" s="37" t="s">
        <v>35</v>
      </c>
      <c r="B116" s="34">
        <v>9.0</v>
      </c>
      <c r="C116" s="35">
        <v>6859.0</v>
      </c>
      <c r="D116" s="35">
        <v>6343.0</v>
      </c>
    </row>
    <row r="117" ht="12.75" customHeight="1">
      <c r="A117" s="37" t="s">
        <v>35</v>
      </c>
      <c r="B117" s="34">
        <v>10.0</v>
      </c>
      <c r="C117" s="35">
        <v>6884.0</v>
      </c>
      <c r="D117" s="35">
        <v>6640.0</v>
      </c>
    </row>
    <row r="118" ht="12.75" customHeight="1">
      <c r="A118" s="37" t="s">
        <v>35</v>
      </c>
      <c r="B118" s="34">
        <v>11.0</v>
      </c>
      <c r="C118" s="35">
        <v>6726.0</v>
      </c>
      <c r="D118" s="35">
        <v>6364.0</v>
      </c>
    </row>
    <row r="119" ht="12.75" customHeight="1">
      <c r="A119" s="37" t="s">
        <v>35</v>
      </c>
      <c r="B119" s="34">
        <v>12.0</v>
      </c>
      <c r="C119" s="35">
        <v>5940.0</v>
      </c>
      <c r="D119" s="35">
        <v>5694.0</v>
      </c>
    </row>
    <row r="120" ht="12.75" customHeight="1">
      <c r="A120" s="37" t="s">
        <v>35</v>
      </c>
      <c r="B120" s="34">
        <v>13.0</v>
      </c>
      <c r="C120" s="35">
        <v>5726.0</v>
      </c>
      <c r="D120" s="35">
        <v>5544.0</v>
      </c>
    </row>
    <row r="121" ht="12.75" customHeight="1">
      <c r="A121" s="37" t="s">
        <v>35</v>
      </c>
      <c r="B121" s="34">
        <v>14.0</v>
      </c>
      <c r="C121" s="35">
        <v>6202.0</v>
      </c>
      <c r="D121" s="35">
        <v>5879.0</v>
      </c>
    </row>
    <row r="122" ht="12.75" customHeight="1">
      <c r="A122" s="32" t="s">
        <v>38</v>
      </c>
      <c r="B122" s="34" t="s">
        <v>395</v>
      </c>
      <c r="C122" s="35">
        <v>4177.0</v>
      </c>
      <c r="D122" s="35">
        <v>3827.0</v>
      </c>
    </row>
    <row r="123" ht="12.75" customHeight="1">
      <c r="A123" s="32" t="s">
        <v>38</v>
      </c>
      <c r="B123" s="34">
        <v>1.0</v>
      </c>
      <c r="C123" s="35">
        <v>4546.0</v>
      </c>
      <c r="D123" s="35">
        <v>4263.0</v>
      </c>
    </row>
    <row r="124" ht="12.75" customHeight="1">
      <c r="A124" s="32" t="s">
        <v>38</v>
      </c>
      <c r="B124" s="34">
        <v>2.0</v>
      </c>
      <c r="C124" s="35">
        <v>4968.0</v>
      </c>
      <c r="D124" s="35">
        <v>4510.0</v>
      </c>
    </row>
    <row r="125" ht="12.75" customHeight="1">
      <c r="A125" s="32" t="s">
        <v>38</v>
      </c>
      <c r="B125" s="34">
        <v>3.0</v>
      </c>
      <c r="C125" s="35">
        <v>5169.0</v>
      </c>
      <c r="D125" s="35">
        <v>4846.0</v>
      </c>
    </row>
    <row r="126" ht="12.75" customHeight="1">
      <c r="A126" s="32" t="s">
        <v>38</v>
      </c>
      <c r="B126" s="34">
        <v>4.0</v>
      </c>
      <c r="C126" s="35">
        <v>5786.0</v>
      </c>
      <c r="D126" s="35">
        <v>5487.0</v>
      </c>
    </row>
    <row r="127" ht="12.75" customHeight="1">
      <c r="A127" s="32" t="s">
        <v>38</v>
      </c>
      <c r="B127" s="34">
        <v>5.0</v>
      </c>
      <c r="C127" s="35">
        <v>6016.0</v>
      </c>
      <c r="D127" s="35">
        <v>5716.0</v>
      </c>
    </row>
    <row r="128" ht="12.75" customHeight="1">
      <c r="A128" s="32" t="s">
        <v>38</v>
      </c>
      <c r="B128" s="34">
        <v>6.0</v>
      </c>
      <c r="C128" s="35">
        <v>6802.0</v>
      </c>
      <c r="D128" s="35">
        <v>6563.0</v>
      </c>
    </row>
    <row r="129" ht="12.75" customHeight="1">
      <c r="A129" s="32" t="s">
        <v>38</v>
      </c>
      <c r="B129" s="34">
        <v>7.0</v>
      </c>
      <c r="C129" s="35">
        <v>7062.0</v>
      </c>
      <c r="D129" s="35">
        <v>6796.0</v>
      </c>
    </row>
    <row r="130" ht="12.75" customHeight="1">
      <c r="A130" s="32" t="s">
        <v>38</v>
      </c>
      <c r="B130" s="34">
        <v>8.0</v>
      </c>
      <c r="C130" s="35">
        <v>6829.0</v>
      </c>
      <c r="D130" s="35">
        <v>6484.0</v>
      </c>
    </row>
    <row r="131" ht="12.75" customHeight="1">
      <c r="A131" s="32" t="s">
        <v>38</v>
      </c>
      <c r="B131" s="34">
        <v>9.0</v>
      </c>
      <c r="C131" s="35">
        <v>6818.0</v>
      </c>
      <c r="D131" s="35">
        <v>6300.0</v>
      </c>
    </row>
    <row r="132" ht="12.75" customHeight="1">
      <c r="A132" s="32" t="s">
        <v>38</v>
      </c>
      <c r="B132" s="34">
        <v>10.0</v>
      </c>
      <c r="C132" s="35">
        <v>7122.0</v>
      </c>
      <c r="D132" s="35">
        <v>6589.0</v>
      </c>
    </row>
    <row r="133" ht="12.75" customHeight="1">
      <c r="A133" s="32" t="s">
        <v>38</v>
      </c>
      <c r="B133" s="34">
        <v>11.0</v>
      </c>
      <c r="C133" s="35">
        <v>6402.0</v>
      </c>
      <c r="D133" s="35">
        <v>6257.0</v>
      </c>
    </row>
    <row r="134" ht="12.75" customHeight="1">
      <c r="A134" s="32" t="s">
        <v>38</v>
      </c>
      <c r="B134" s="34">
        <v>12.0</v>
      </c>
      <c r="C134" s="35">
        <v>6658.0</v>
      </c>
      <c r="D134" s="35">
        <v>6503.0</v>
      </c>
    </row>
    <row r="135" ht="12.75" customHeight="1">
      <c r="A135" s="32" t="s">
        <v>38</v>
      </c>
      <c r="B135" s="34">
        <v>13.0</v>
      </c>
      <c r="C135" s="35">
        <v>6377.0</v>
      </c>
      <c r="D135" s="35">
        <v>6218.0</v>
      </c>
    </row>
    <row r="136" ht="12.75" customHeight="1">
      <c r="A136" s="32" t="s">
        <v>38</v>
      </c>
      <c r="B136" s="34">
        <v>14.0</v>
      </c>
      <c r="C136" s="35">
        <v>6685.0</v>
      </c>
      <c r="D136" s="35">
        <v>6513.0</v>
      </c>
    </row>
    <row r="137" ht="12.75" customHeight="1">
      <c r="A137" s="32" t="s">
        <v>44</v>
      </c>
      <c r="B137" s="34" t="s">
        <v>395</v>
      </c>
      <c r="C137" s="35">
        <v>38470.0</v>
      </c>
      <c r="D137" s="35">
        <v>36328.0</v>
      </c>
    </row>
    <row r="138" ht="12.75" customHeight="1">
      <c r="A138" s="32" t="s">
        <v>44</v>
      </c>
      <c r="B138" s="34">
        <v>1.0</v>
      </c>
      <c r="C138" s="35">
        <v>42904.0</v>
      </c>
      <c r="D138" s="35">
        <v>39371.0</v>
      </c>
    </row>
    <row r="139" ht="12.75" customHeight="1">
      <c r="A139" s="32" t="s">
        <v>44</v>
      </c>
      <c r="B139" s="34">
        <v>2.0</v>
      </c>
      <c r="C139" s="35">
        <v>47805.0</v>
      </c>
      <c r="D139" s="35">
        <v>43360.0</v>
      </c>
    </row>
    <row r="140" ht="12.75" customHeight="1">
      <c r="A140" s="32" t="s">
        <v>44</v>
      </c>
      <c r="B140" s="34">
        <v>3.0</v>
      </c>
      <c r="C140" s="35">
        <v>46519.0</v>
      </c>
      <c r="D140" s="35">
        <v>42375.0</v>
      </c>
    </row>
    <row r="141" ht="12.75" customHeight="1">
      <c r="A141" s="32" t="s">
        <v>44</v>
      </c>
      <c r="B141" s="34">
        <v>4.0</v>
      </c>
      <c r="C141" s="35">
        <v>53346.0</v>
      </c>
      <c r="D141" s="35">
        <v>48251.0</v>
      </c>
    </row>
    <row r="142" ht="12.75" customHeight="1">
      <c r="A142" s="32" t="s">
        <v>44</v>
      </c>
      <c r="B142" s="34">
        <v>5.0</v>
      </c>
      <c r="C142" s="35">
        <v>56915.0</v>
      </c>
      <c r="D142" s="35">
        <v>51513.0</v>
      </c>
    </row>
    <row r="143" ht="12.75" customHeight="1">
      <c r="A143" s="32" t="s">
        <v>44</v>
      </c>
      <c r="B143" s="34">
        <v>6.0</v>
      </c>
      <c r="C143" s="35">
        <v>63162.0</v>
      </c>
      <c r="D143" s="35">
        <v>57479.0</v>
      </c>
    </row>
    <row r="144" ht="12.75" customHeight="1">
      <c r="A144" s="32" t="s">
        <v>44</v>
      </c>
      <c r="B144" s="34">
        <v>7.0</v>
      </c>
      <c r="C144" s="35">
        <v>63634.0</v>
      </c>
      <c r="D144" s="35">
        <v>58258.0</v>
      </c>
    </row>
    <row r="145" ht="12.75" customHeight="1">
      <c r="A145" s="32" t="s">
        <v>44</v>
      </c>
      <c r="B145" s="34">
        <v>8.0</v>
      </c>
      <c r="C145" s="35">
        <v>60153.0</v>
      </c>
      <c r="D145" s="35">
        <v>54045.0</v>
      </c>
    </row>
    <row r="146" ht="12.75" customHeight="1">
      <c r="A146" s="32" t="s">
        <v>44</v>
      </c>
      <c r="B146" s="34">
        <v>9.0</v>
      </c>
      <c r="C146" s="35">
        <v>57418.0</v>
      </c>
      <c r="D146" s="35">
        <v>52852.0</v>
      </c>
    </row>
    <row r="147" ht="12.75" customHeight="1">
      <c r="A147" s="32" t="s">
        <v>44</v>
      </c>
      <c r="B147" s="34">
        <v>10.0</v>
      </c>
      <c r="C147" s="35">
        <v>57790.0</v>
      </c>
      <c r="D147" s="35">
        <v>51524.0</v>
      </c>
    </row>
    <row r="148" ht="12.75" customHeight="1">
      <c r="A148" s="32" t="s">
        <v>44</v>
      </c>
      <c r="B148" s="34">
        <v>11.0</v>
      </c>
      <c r="C148" s="35">
        <v>53503.0</v>
      </c>
      <c r="D148" s="35">
        <v>47935.0</v>
      </c>
    </row>
    <row r="149" ht="12.75" customHeight="1">
      <c r="A149" s="32" t="s">
        <v>44</v>
      </c>
      <c r="B149" s="34">
        <v>12.0</v>
      </c>
      <c r="C149" s="35">
        <v>51758.0</v>
      </c>
      <c r="D149" s="35">
        <v>46598.0</v>
      </c>
    </row>
    <row r="150" ht="12.75" customHeight="1">
      <c r="A150" s="32" t="s">
        <v>44</v>
      </c>
      <c r="B150" s="34">
        <v>13.0</v>
      </c>
      <c r="C150" s="35">
        <v>48187.0</v>
      </c>
      <c r="D150" s="35">
        <v>43662.0</v>
      </c>
    </row>
    <row r="151" ht="12.75" customHeight="1">
      <c r="A151" s="32" t="s">
        <v>44</v>
      </c>
      <c r="B151" s="34">
        <v>14.0</v>
      </c>
      <c r="C151" s="35">
        <v>47079.0</v>
      </c>
      <c r="D151" s="35">
        <v>43045.0</v>
      </c>
    </row>
    <row r="152" ht="12.75" customHeight="1">
      <c r="A152" s="32" t="s">
        <v>47</v>
      </c>
      <c r="B152" s="34" t="s">
        <v>395</v>
      </c>
      <c r="C152" s="35">
        <v>2575.0</v>
      </c>
      <c r="D152" s="35">
        <v>2334.0</v>
      </c>
    </row>
    <row r="153" ht="12.75" customHeight="1">
      <c r="A153" s="32" t="s">
        <v>47</v>
      </c>
      <c r="B153" s="34">
        <v>1.0</v>
      </c>
      <c r="C153" s="35">
        <v>2721.0</v>
      </c>
      <c r="D153" s="35">
        <v>2553.0</v>
      </c>
    </row>
    <row r="154" ht="12.75" customHeight="1">
      <c r="A154" s="32" t="s">
        <v>47</v>
      </c>
      <c r="B154" s="34">
        <v>2.0</v>
      </c>
      <c r="C154" s="35">
        <v>2932.0</v>
      </c>
      <c r="D154" s="35">
        <v>2723.0</v>
      </c>
    </row>
    <row r="155" ht="12.75" customHeight="1">
      <c r="A155" s="32" t="s">
        <v>47</v>
      </c>
      <c r="B155" s="34">
        <v>3.0</v>
      </c>
      <c r="C155" s="35">
        <v>2954.0</v>
      </c>
      <c r="D155" s="35">
        <v>2840.0</v>
      </c>
    </row>
    <row r="156" ht="12.75" customHeight="1">
      <c r="A156" s="32" t="s">
        <v>47</v>
      </c>
      <c r="B156" s="34">
        <v>4.0</v>
      </c>
      <c r="C156" s="35">
        <v>3380.0</v>
      </c>
      <c r="D156" s="35">
        <v>3144.0</v>
      </c>
    </row>
    <row r="157" ht="12.75" customHeight="1">
      <c r="A157" s="32" t="s">
        <v>47</v>
      </c>
      <c r="B157" s="34">
        <v>5.0</v>
      </c>
      <c r="C157" s="35">
        <v>3438.0</v>
      </c>
      <c r="D157" s="35">
        <v>3382.0</v>
      </c>
    </row>
    <row r="158" ht="12.75" customHeight="1">
      <c r="A158" s="32" t="s">
        <v>47</v>
      </c>
      <c r="B158" s="34">
        <v>6.0</v>
      </c>
      <c r="C158" s="35">
        <v>4100.0</v>
      </c>
      <c r="D158" s="35">
        <v>3780.0</v>
      </c>
    </row>
    <row r="159" ht="12.75" customHeight="1">
      <c r="A159" s="32" t="s">
        <v>47</v>
      </c>
      <c r="B159" s="34">
        <v>7.0</v>
      </c>
      <c r="C159" s="35">
        <v>4203.0</v>
      </c>
      <c r="D159" s="35">
        <v>3916.0</v>
      </c>
    </row>
    <row r="160" ht="12.75" customHeight="1">
      <c r="A160" s="32" t="s">
        <v>47</v>
      </c>
      <c r="B160" s="34">
        <v>8.0</v>
      </c>
      <c r="C160" s="35">
        <v>4079.0</v>
      </c>
      <c r="D160" s="35">
        <v>3955.0</v>
      </c>
    </row>
    <row r="161" ht="12.75" customHeight="1">
      <c r="A161" s="32" t="s">
        <v>47</v>
      </c>
      <c r="B161" s="34">
        <v>9.0</v>
      </c>
      <c r="C161" s="35">
        <v>4223.0</v>
      </c>
      <c r="D161" s="35">
        <v>3863.0</v>
      </c>
    </row>
    <row r="162" ht="12.75" customHeight="1">
      <c r="A162" s="32" t="s">
        <v>47</v>
      </c>
      <c r="B162" s="34">
        <v>10.0</v>
      </c>
      <c r="C162" s="35">
        <v>4277.0</v>
      </c>
      <c r="D162" s="35">
        <v>4030.0</v>
      </c>
    </row>
    <row r="163" ht="12.75" customHeight="1">
      <c r="A163" s="32" t="s">
        <v>47</v>
      </c>
      <c r="B163" s="34">
        <v>11.0</v>
      </c>
      <c r="C163" s="35">
        <v>4021.0</v>
      </c>
      <c r="D163" s="35">
        <v>3827.0</v>
      </c>
    </row>
    <row r="164" ht="12.75" customHeight="1">
      <c r="A164" s="32" t="s">
        <v>47</v>
      </c>
      <c r="B164" s="34">
        <v>12.0</v>
      </c>
      <c r="C164" s="35">
        <v>4099.0</v>
      </c>
      <c r="D164" s="35">
        <v>3883.0</v>
      </c>
    </row>
    <row r="165" ht="12.75" customHeight="1">
      <c r="A165" s="32" t="s">
        <v>47</v>
      </c>
      <c r="B165" s="34">
        <v>13.0</v>
      </c>
      <c r="C165" s="35">
        <v>3963.0</v>
      </c>
      <c r="D165" s="35">
        <v>3737.0</v>
      </c>
    </row>
    <row r="166" ht="12.75" customHeight="1">
      <c r="A166" s="32" t="s">
        <v>47</v>
      </c>
      <c r="B166" s="34">
        <v>14.0</v>
      </c>
      <c r="C166" s="35">
        <v>4084.0</v>
      </c>
      <c r="D166" s="35">
        <v>3896.0</v>
      </c>
    </row>
    <row r="167" ht="12.75" customHeight="1">
      <c r="A167" s="32" t="s">
        <v>50</v>
      </c>
      <c r="B167" s="34" t="s">
        <v>395</v>
      </c>
      <c r="C167" s="35">
        <v>3546.0</v>
      </c>
      <c r="D167" s="35">
        <v>3387.0</v>
      </c>
    </row>
    <row r="168" ht="12.75" customHeight="1">
      <c r="A168" s="32" t="s">
        <v>50</v>
      </c>
      <c r="B168" s="34">
        <v>1.0</v>
      </c>
      <c r="C168" s="35">
        <v>4014.0</v>
      </c>
      <c r="D168" s="35">
        <v>3867.0</v>
      </c>
    </row>
    <row r="169" ht="12.75" customHeight="1">
      <c r="A169" s="32" t="s">
        <v>50</v>
      </c>
      <c r="B169" s="34">
        <v>2.0</v>
      </c>
      <c r="C169" s="35">
        <v>4465.0</v>
      </c>
      <c r="D169" s="35">
        <v>4124.0</v>
      </c>
    </row>
    <row r="170" ht="12.75" customHeight="1">
      <c r="A170" s="32" t="s">
        <v>50</v>
      </c>
      <c r="B170" s="34">
        <v>3.0</v>
      </c>
      <c r="C170" s="35">
        <v>4651.0</v>
      </c>
      <c r="D170" s="35">
        <v>4556.0</v>
      </c>
    </row>
    <row r="171" ht="12.75" customHeight="1">
      <c r="A171" s="32" t="s">
        <v>50</v>
      </c>
      <c r="B171" s="34">
        <v>4.0</v>
      </c>
      <c r="C171" s="35">
        <v>5245.0</v>
      </c>
      <c r="D171" s="35">
        <v>4906.0</v>
      </c>
    </row>
    <row r="172" ht="12.75" customHeight="1">
      <c r="A172" s="32" t="s">
        <v>50</v>
      </c>
      <c r="B172" s="34">
        <v>5.0</v>
      </c>
      <c r="C172" s="35">
        <v>5657.0</v>
      </c>
      <c r="D172" s="35">
        <v>5257.0</v>
      </c>
    </row>
    <row r="173" ht="12.75" customHeight="1">
      <c r="A173" s="32" t="s">
        <v>50</v>
      </c>
      <c r="B173" s="34">
        <v>6.0</v>
      </c>
      <c r="C173" s="35">
        <v>6631.0</v>
      </c>
      <c r="D173" s="35">
        <v>6062.0</v>
      </c>
    </row>
    <row r="174" ht="12.75" customHeight="1">
      <c r="A174" s="32" t="s">
        <v>50</v>
      </c>
      <c r="B174" s="34">
        <v>7.0</v>
      </c>
      <c r="C174" s="35">
        <v>6381.0</v>
      </c>
      <c r="D174" s="35">
        <v>6138.0</v>
      </c>
    </row>
    <row r="175" ht="12.75" customHeight="1">
      <c r="A175" s="32" t="s">
        <v>50</v>
      </c>
      <c r="B175" s="34">
        <v>8.0</v>
      </c>
      <c r="C175" s="35">
        <v>6378.0</v>
      </c>
      <c r="D175" s="35">
        <v>6043.0</v>
      </c>
    </row>
    <row r="176" ht="12.75" customHeight="1">
      <c r="A176" s="32" t="s">
        <v>50</v>
      </c>
      <c r="B176" s="34">
        <v>9.0</v>
      </c>
      <c r="C176" s="35">
        <v>6209.0</v>
      </c>
      <c r="D176" s="35">
        <v>6067.0</v>
      </c>
    </row>
    <row r="177" ht="12.75" customHeight="1">
      <c r="A177" s="32" t="s">
        <v>50</v>
      </c>
      <c r="B177" s="34">
        <v>10.0</v>
      </c>
      <c r="C177" s="35">
        <v>6311.0</v>
      </c>
      <c r="D177" s="35">
        <v>6006.0</v>
      </c>
    </row>
    <row r="178" ht="12.75" customHeight="1">
      <c r="A178" s="32" t="s">
        <v>50</v>
      </c>
      <c r="B178" s="34">
        <v>11.0</v>
      </c>
      <c r="C178" s="35">
        <v>6023.0</v>
      </c>
      <c r="D178" s="35">
        <v>5655.0</v>
      </c>
    </row>
    <row r="179" ht="12.75" customHeight="1">
      <c r="A179" s="32" t="s">
        <v>50</v>
      </c>
      <c r="B179" s="34">
        <v>12.0</v>
      </c>
      <c r="C179" s="35">
        <v>5828.0</v>
      </c>
      <c r="D179" s="35">
        <v>5487.0</v>
      </c>
    </row>
    <row r="180" ht="12.75" customHeight="1">
      <c r="A180" s="32" t="s">
        <v>50</v>
      </c>
      <c r="B180" s="34">
        <v>13.0</v>
      </c>
      <c r="C180" s="35">
        <v>5470.0</v>
      </c>
      <c r="D180" s="35">
        <v>5204.0</v>
      </c>
    </row>
    <row r="181" ht="12.75" customHeight="1">
      <c r="A181" s="32" t="s">
        <v>50</v>
      </c>
      <c r="B181" s="34">
        <v>14.0</v>
      </c>
      <c r="C181" s="35">
        <v>5992.0</v>
      </c>
      <c r="D181" s="35">
        <v>5659.0</v>
      </c>
    </row>
    <row r="182" ht="12.75" customHeight="1">
      <c r="A182" s="32" t="s">
        <v>53</v>
      </c>
      <c r="B182" s="34" t="s">
        <v>395</v>
      </c>
      <c r="C182" s="35">
        <v>2744.0</v>
      </c>
      <c r="D182" s="35">
        <v>2681.0</v>
      </c>
    </row>
    <row r="183" ht="12.75" customHeight="1">
      <c r="A183" s="32" t="s">
        <v>53</v>
      </c>
      <c r="B183" s="34">
        <v>1.0</v>
      </c>
      <c r="C183" s="35">
        <v>3124.0</v>
      </c>
      <c r="D183" s="35">
        <v>2964.0</v>
      </c>
    </row>
    <row r="184" ht="12.75" customHeight="1">
      <c r="A184" s="32" t="s">
        <v>53</v>
      </c>
      <c r="B184" s="34">
        <v>2.0</v>
      </c>
      <c r="C184" s="35">
        <v>3331.0</v>
      </c>
      <c r="D184" s="35">
        <v>3131.0</v>
      </c>
    </row>
    <row r="185" ht="12.75" customHeight="1">
      <c r="A185" s="32" t="s">
        <v>53</v>
      </c>
      <c r="B185" s="34">
        <v>3.0</v>
      </c>
      <c r="C185" s="35">
        <v>3669.0</v>
      </c>
      <c r="D185" s="35">
        <v>3402.0</v>
      </c>
    </row>
    <row r="186" ht="12.75" customHeight="1">
      <c r="A186" s="32" t="s">
        <v>53</v>
      </c>
      <c r="B186" s="34">
        <v>4.0</v>
      </c>
      <c r="C186" s="35">
        <v>3998.0</v>
      </c>
      <c r="D186" s="35">
        <v>3804.0</v>
      </c>
    </row>
    <row r="187" ht="12.75" customHeight="1">
      <c r="A187" s="32" t="s">
        <v>53</v>
      </c>
      <c r="B187" s="34">
        <v>5.0</v>
      </c>
      <c r="C187" s="35">
        <v>4478.0</v>
      </c>
      <c r="D187" s="35">
        <v>4183.0</v>
      </c>
    </row>
    <row r="188" ht="12.75" customHeight="1">
      <c r="A188" s="32" t="s">
        <v>53</v>
      </c>
      <c r="B188" s="34">
        <v>6.0</v>
      </c>
      <c r="C188" s="35">
        <v>5020.0</v>
      </c>
      <c r="D188" s="35">
        <v>4757.0</v>
      </c>
    </row>
    <row r="189" ht="12.75" customHeight="1">
      <c r="A189" s="32" t="s">
        <v>53</v>
      </c>
      <c r="B189" s="34">
        <v>7.0</v>
      </c>
      <c r="C189" s="35">
        <v>5176.0</v>
      </c>
      <c r="D189" s="35">
        <v>4768.0</v>
      </c>
    </row>
    <row r="190" ht="12.75" customHeight="1">
      <c r="A190" s="32" t="s">
        <v>53</v>
      </c>
      <c r="B190" s="34">
        <v>8.0</v>
      </c>
      <c r="C190" s="35">
        <v>5279.0</v>
      </c>
      <c r="D190" s="35">
        <v>4828.0</v>
      </c>
    </row>
    <row r="191" ht="12.75" customHeight="1">
      <c r="A191" s="32" t="s">
        <v>53</v>
      </c>
      <c r="B191" s="34">
        <v>9.0</v>
      </c>
      <c r="C191" s="35">
        <v>5168.0</v>
      </c>
      <c r="D191" s="35">
        <v>4864.0</v>
      </c>
    </row>
    <row r="192" ht="12.75" customHeight="1">
      <c r="A192" s="32" t="s">
        <v>53</v>
      </c>
      <c r="B192" s="34">
        <v>10.0</v>
      </c>
      <c r="C192" s="35">
        <v>5046.0</v>
      </c>
      <c r="D192" s="35">
        <v>4874.0</v>
      </c>
    </row>
    <row r="193" ht="12.75" customHeight="1">
      <c r="A193" s="32" t="s">
        <v>53</v>
      </c>
      <c r="B193" s="34">
        <v>11.0</v>
      </c>
      <c r="C193" s="35">
        <v>5083.0</v>
      </c>
      <c r="D193" s="35">
        <v>4794.0</v>
      </c>
    </row>
    <row r="194" ht="12.75" customHeight="1">
      <c r="A194" s="32" t="s">
        <v>53</v>
      </c>
      <c r="B194" s="34">
        <v>12.0</v>
      </c>
      <c r="C194" s="35">
        <v>4660.0</v>
      </c>
      <c r="D194" s="35">
        <v>4475.0</v>
      </c>
    </row>
    <row r="195" ht="12.75" customHeight="1">
      <c r="A195" s="32" t="s">
        <v>53</v>
      </c>
      <c r="B195" s="34">
        <v>13.0</v>
      </c>
      <c r="C195" s="35">
        <v>4595.0</v>
      </c>
      <c r="D195" s="35">
        <v>4439.0</v>
      </c>
    </row>
    <row r="196" ht="12.75" customHeight="1">
      <c r="A196" s="32" t="s">
        <v>53</v>
      </c>
      <c r="B196" s="34">
        <v>14.0</v>
      </c>
      <c r="C196" s="35">
        <v>4894.0</v>
      </c>
      <c r="D196" s="35">
        <v>4667.0</v>
      </c>
    </row>
    <row r="197" ht="12.75" customHeight="1">
      <c r="A197" s="32" t="s">
        <v>56</v>
      </c>
      <c r="B197" s="34" t="s">
        <v>395</v>
      </c>
      <c r="C197" s="35">
        <v>3393.0</v>
      </c>
      <c r="D197" s="35">
        <v>3167.0</v>
      </c>
    </row>
    <row r="198" ht="12.75" customHeight="1">
      <c r="A198" s="32" t="s">
        <v>56</v>
      </c>
      <c r="B198" s="34">
        <v>1.0</v>
      </c>
      <c r="C198" s="35">
        <v>3211.0</v>
      </c>
      <c r="D198" s="35">
        <v>3111.0</v>
      </c>
    </row>
    <row r="199" ht="12.75" customHeight="1">
      <c r="A199" s="32" t="s">
        <v>56</v>
      </c>
      <c r="B199" s="34">
        <v>2.0</v>
      </c>
      <c r="C199" s="35">
        <v>3333.0</v>
      </c>
      <c r="D199" s="35">
        <v>3090.0</v>
      </c>
    </row>
    <row r="200" ht="12.75" customHeight="1">
      <c r="A200" s="32" t="s">
        <v>56</v>
      </c>
      <c r="B200" s="34">
        <v>3.0</v>
      </c>
      <c r="C200" s="35">
        <v>3561.0</v>
      </c>
      <c r="D200" s="35">
        <v>3381.0</v>
      </c>
    </row>
    <row r="201" ht="12.75" customHeight="1">
      <c r="A201" s="32" t="s">
        <v>56</v>
      </c>
      <c r="B201" s="34">
        <v>4.0</v>
      </c>
      <c r="C201" s="35">
        <v>3841.0</v>
      </c>
      <c r="D201" s="35">
        <v>3741.0</v>
      </c>
    </row>
    <row r="202" ht="12.75" customHeight="1">
      <c r="A202" s="32" t="s">
        <v>56</v>
      </c>
      <c r="B202" s="34">
        <v>5.0</v>
      </c>
      <c r="C202" s="35">
        <v>4354.0</v>
      </c>
      <c r="D202" s="35">
        <v>4083.0</v>
      </c>
    </row>
    <row r="203" ht="12.75" customHeight="1">
      <c r="A203" s="32" t="s">
        <v>56</v>
      </c>
      <c r="B203" s="34">
        <v>6.0</v>
      </c>
      <c r="C203" s="35">
        <v>4741.0</v>
      </c>
      <c r="D203" s="35">
        <v>4474.0</v>
      </c>
    </row>
    <row r="204" ht="12.75" customHeight="1">
      <c r="A204" s="32" t="s">
        <v>56</v>
      </c>
      <c r="B204" s="34">
        <v>7.0</v>
      </c>
      <c r="C204" s="35">
        <v>4982.0</v>
      </c>
      <c r="D204" s="35">
        <v>4749.0</v>
      </c>
    </row>
    <row r="205" ht="12.75" customHeight="1">
      <c r="A205" s="32" t="s">
        <v>56</v>
      </c>
      <c r="B205" s="34">
        <v>8.0</v>
      </c>
      <c r="C205" s="35">
        <v>5051.0</v>
      </c>
      <c r="D205" s="35">
        <v>4623.0</v>
      </c>
    </row>
    <row r="206" ht="12.75" customHeight="1">
      <c r="A206" s="32" t="s">
        <v>56</v>
      </c>
      <c r="B206" s="34">
        <v>9.0</v>
      </c>
      <c r="C206" s="35">
        <v>4870.0</v>
      </c>
      <c r="D206" s="35">
        <v>4791.0</v>
      </c>
    </row>
    <row r="207" ht="12.75" customHeight="1">
      <c r="A207" s="32" t="s">
        <v>56</v>
      </c>
      <c r="B207" s="34">
        <v>10.0</v>
      </c>
      <c r="C207" s="35">
        <v>4955.0</v>
      </c>
      <c r="D207" s="35">
        <v>4666.0</v>
      </c>
    </row>
    <row r="208" ht="12.75" customHeight="1">
      <c r="A208" s="32" t="s">
        <v>56</v>
      </c>
      <c r="B208" s="34">
        <v>11.0</v>
      </c>
      <c r="C208" s="35">
        <v>4779.0</v>
      </c>
      <c r="D208" s="35">
        <v>4547.0</v>
      </c>
    </row>
    <row r="209" ht="12.75" customHeight="1">
      <c r="A209" s="32" t="s">
        <v>56</v>
      </c>
      <c r="B209" s="34">
        <v>12.0</v>
      </c>
      <c r="C209" s="35">
        <v>5026.0</v>
      </c>
      <c r="D209" s="35">
        <v>4720.0</v>
      </c>
    </row>
    <row r="210" ht="12.75" customHeight="1">
      <c r="A210" s="32" t="s">
        <v>56</v>
      </c>
      <c r="B210" s="34">
        <v>13.0</v>
      </c>
      <c r="C210" s="35">
        <v>4858.0</v>
      </c>
      <c r="D210" s="35">
        <v>4449.0</v>
      </c>
    </row>
    <row r="211" ht="12.75" customHeight="1">
      <c r="A211" s="32" t="s">
        <v>56</v>
      </c>
      <c r="B211" s="34">
        <v>14.0</v>
      </c>
      <c r="C211" s="35">
        <v>4884.0</v>
      </c>
      <c r="D211" s="35">
        <v>4440.0</v>
      </c>
    </row>
    <row r="212" ht="12.75" customHeight="1">
      <c r="A212" s="32" t="s">
        <v>26</v>
      </c>
      <c r="B212" s="34" t="s">
        <v>395</v>
      </c>
      <c r="C212" s="35">
        <v>4535.0</v>
      </c>
      <c r="D212" s="35">
        <v>4244.0</v>
      </c>
    </row>
    <row r="213" ht="12.75" customHeight="1">
      <c r="A213" s="32" t="s">
        <v>26</v>
      </c>
      <c r="B213" s="34">
        <v>1.0</v>
      </c>
      <c r="C213" s="35">
        <v>4700.0</v>
      </c>
      <c r="D213" s="35">
        <v>4691.0</v>
      </c>
    </row>
    <row r="214" ht="12.75" customHeight="1">
      <c r="A214" s="32" t="s">
        <v>26</v>
      </c>
      <c r="B214" s="34">
        <v>2.0</v>
      </c>
      <c r="C214" s="35">
        <v>5171.0</v>
      </c>
      <c r="D214" s="35">
        <v>4811.0</v>
      </c>
    </row>
    <row r="215" ht="12.75" customHeight="1">
      <c r="A215" s="32" t="s">
        <v>26</v>
      </c>
      <c r="B215" s="34">
        <v>3.0</v>
      </c>
      <c r="C215" s="35">
        <v>5351.0</v>
      </c>
      <c r="D215" s="35">
        <v>5193.0</v>
      </c>
    </row>
    <row r="216" ht="12.75" customHeight="1">
      <c r="A216" s="32" t="s">
        <v>26</v>
      </c>
      <c r="B216" s="34">
        <v>4.0</v>
      </c>
      <c r="C216" s="35">
        <v>5859.0</v>
      </c>
      <c r="D216" s="35">
        <v>5536.0</v>
      </c>
    </row>
    <row r="217" ht="12.75" customHeight="1">
      <c r="A217" s="32" t="s">
        <v>26</v>
      </c>
      <c r="B217" s="34">
        <v>5.0</v>
      </c>
      <c r="C217" s="35">
        <v>6500.0</v>
      </c>
      <c r="D217" s="35">
        <v>6037.0</v>
      </c>
    </row>
    <row r="218" ht="12.75" customHeight="1">
      <c r="A218" s="32" t="s">
        <v>26</v>
      </c>
      <c r="B218" s="34">
        <v>6.0</v>
      </c>
      <c r="C218" s="35">
        <v>7129.0</v>
      </c>
      <c r="D218" s="35">
        <v>6984.0</v>
      </c>
    </row>
    <row r="219" ht="12.75" customHeight="1">
      <c r="A219" s="32" t="s">
        <v>26</v>
      </c>
      <c r="B219" s="34">
        <v>7.0</v>
      </c>
      <c r="C219" s="35">
        <v>7344.0</v>
      </c>
      <c r="D219" s="35">
        <v>6922.0</v>
      </c>
    </row>
    <row r="220" ht="12.75" customHeight="1">
      <c r="A220" s="32" t="s">
        <v>26</v>
      </c>
      <c r="B220" s="34">
        <v>8.0</v>
      </c>
      <c r="C220" s="35">
        <v>7419.0</v>
      </c>
      <c r="D220" s="35">
        <v>7072.0</v>
      </c>
    </row>
    <row r="221" ht="12.75" customHeight="1">
      <c r="A221" s="32" t="s">
        <v>26</v>
      </c>
      <c r="B221" s="34">
        <v>9.0</v>
      </c>
      <c r="C221" s="35">
        <v>7430.0</v>
      </c>
      <c r="D221" s="35">
        <v>7051.0</v>
      </c>
    </row>
    <row r="222" ht="12.75" customHeight="1">
      <c r="A222" s="32" t="s">
        <v>26</v>
      </c>
      <c r="B222" s="34">
        <v>10.0</v>
      </c>
      <c r="C222" s="35">
        <v>7669.0</v>
      </c>
      <c r="D222" s="35">
        <v>7379.0</v>
      </c>
    </row>
    <row r="223" ht="12.75" customHeight="1">
      <c r="A223" s="32" t="s">
        <v>26</v>
      </c>
      <c r="B223" s="34">
        <v>11.0</v>
      </c>
      <c r="C223" s="35">
        <v>7283.0</v>
      </c>
      <c r="D223" s="35">
        <v>6967.0</v>
      </c>
    </row>
    <row r="224" ht="12.75" customHeight="1">
      <c r="A224" s="32" t="s">
        <v>26</v>
      </c>
      <c r="B224" s="34">
        <v>12.0</v>
      </c>
      <c r="C224" s="35">
        <v>6509.0</v>
      </c>
      <c r="D224" s="35">
        <v>6290.0</v>
      </c>
    </row>
    <row r="225" ht="12.75" customHeight="1">
      <c r="A225" s="32" t="s">
        <v>26</v>
      </c>
      <c r="B225" s="34">
        <v>13.0</v>
      </c>
      <c r="C225" s="35">
        <v>6304.0</v>
      </c>
      <c r="D225" s="35">
        <v>6091.0</v>
      </c>
    </row>
    <row r="226" ht="12.75" customHeight="1">
      <c r="A226" s="32" t="s">
        <v>26</v>
      </c>
      <c r="B226" s="34">
        <v>14.0</v>
      </c>
      <c r="C226" s="35">
        <v>6921.0</v>
      </c>
      <c r="D226" s="35">
        <v>6762.0</v>
      </c>
    </row>
    <row r="227" ht="12.75" customHeight="1">
      <c r="A227" s="32" t="s">
        <v>59</v>
      </c>
      <c r="B227" s="34" t="s">
        <v>395</v>
      </c>
      <c r="C227" s="35">
        <v>4857.0</v>
      </c>
      <c r="D227" s="35">
        <v>4619.0</v>
      </c>
    </row>
    <row r="228" ht="12.75" customHeight="1">
      <c r="A228" s="32" t="s">
        <v>59</v>
      </c>
      <c r="B228" s="34">
        <v>1.0</v>
      </c>
      <c r="C228" s="35">
        <v>5231.0</v>
      </c>
      <c r="D228" s="35">
        <v>4892.0</v>
      </c>
    </row>
    <row r="229" ht="12.75" customHeight="1">
      <c r="A229" s="32" t="s">
        <v>59</v>
      </c>
      <c r="B229" s="34">
        <v>2.0</v>
      </c>
      <c r="C229" s="35">
        <v>5564.0</v>
      </c>
      <c r="D229" s="35">
        <v>5173.0</v>
      </c>
    </row>
    <row r="230" ht="12.75" customHeight="1">
      <c r="A230" s="32" t="s">
        <v>59</v>
      </c>
      <c r="B230" s="34">
        <v>3.0</v>
      </c>
      <c r="C230" s="35">
        <v>5873.0</v>
      </c>
      <c r="D230" s="35">
        <v>5606.0</v>
      </c>
    </row>
    <row r="231" ht="12.75" customHeight="1">
      <c r="A231" s="32" t="s">
        <v>59</v>
      </c>
      <c r="B231" s="34">
        <v>4.0</v>
      </c>
      <c r="C231" s="35">
        <v>6441.0</v>
      </c>
      <c r="D231" s="35">
        <v>6111.0</v>
      </c>
    </row>
    <row r="232" ht="12.75" customHeight="1">
      <c r="A232" s="32" t="s">
        <v>59</v>
      </c>
      <c r="B232" s="34">
        <v>5.0</v>
      </c>
      <c r="C232" s="35">
        <v>6905.0</v>
      </c>
      <c r="D232" s="35">
        <v>6639.0</v>
      </c>
    </row>
    <row r="233" ht="12.75" customHeight="1">
      <c r="A233" s="32" t="s">
        <v>59</v>
      </c>
      <c r="B233" s="34">
        <v>6.0</v>
      </c>
      <c r="C233" s="35">
        <v>8105.0</v>
      </c>
      <c r="D233" s="35">
        <v>7570.0</v>
      </c>
    </row>
    <row r="234" ht="12.75" customHeight="1">
      <c r="A234" s="32" t="s">
        <v>59</v>
      </c>
      <c r="B234" s="34">
        <v>7.0</v>
      </c>
      <c r="C234" s="35">
        <v>8288.0</v>
      </c>
      <c r="D234" s="35">
        <v>7982.0</v>
      </c>
    </row>
    <row r="235" ht="12.75" customHeight="1">
      <c r="A235" s="32" t="s">
        <v>59</v>
      </c>
      <c r="B235" s="34">
        <v>8.0</v>
      </c>
      <c r="C235" s="35">
        <v>7640.0</v>
      </c>
      <c r="D235" s="35">
        <v>7302.0</v>
      </c>
    </row>
    <row r="236" ht="12.75" customHeight="1">
      <c r="A236" s="32" t="s">
        <v>59</v>
      </c>
      <c r="B236" s="34">
        <v>9.0</v>
      </c>
      <c r="C236" s="35">
        <v>7536.0</v>
      </c>
      <c r="D236" s="35">
        <v>7390.0</v>
      </c>
    </row>
    <row r="237" ht="12.75" customHeight="1">
      <c r="A237" s="32" t="s">
        <v>59</v>
      </c>
      <c r="B237" s="34">
        <v>10.0</v>
      </c>
      <c r="C237" s="35">
        <v>7830.0</v>
      </c>
      <c r="D237" s="35">
        <v>7444.0</v>
      </c>
    </row>
    <row r="238" ht="12.75" customHeight="1">
      <c r="A238" s="32" t="s">
        <v>59</v>
      </c>
      <c r="B238" s="34">
        <v>11.0</v>
      </c>
      <c r="C238" s="35">
        <v>7344.0</v>
      </c>
      <c r="D238" s="35">
        <v>7134.0</v>
      </c>
    </row>
    <row r="239" ht="12.75" customHeight="1">
      <c r="A239" s="32" t="s">
        <v>59</v>
      </c>
      <c r="B239" s="34">
        <v>12.0</v>
      </c>
      <c r="C239" s="35">
        <v>7406.0</v>
      </c>
      <c r="D239" s="35">
        <v>6794.0</v>
      </c>
    </row>
    <row r="240" ht="12.75" customHeight="1">
      <c r="A240" s="32" t="s">
        <v>59</v>
      </c>
      <c r="B240" s="34">
        <v>13.0</v>
      </c>
      <c r="C240" s="35">
        <v>7753.0</v>
      </c>
      <c r="D240" s="35">
        <v>7082.0</v>
      </c>
    </row>
    <row r="241" ht="12.75" customHeight="1">
      <c r="A241" s="32" t="s">
        <v>59</v>
      </c>
      <c r="B241" s="34">
        <v>14.0</v>
      </c>
      <c r="C241" s="35">
        <v>7387.0</v>
      </c>
      <c r="D241" s="35">
        <v>7109.0</v>
      </c>
    </row>
    <row r="242" ht="12.75" customHeight="1">
      <c r="A242" s="32" t="s">
        <v>62</v>
      </c>
      <c r="B242" s="34" t="s">
        <v>395</v>
      </c>
      <c r="C242" s="35">
        <v>4783.0</v>
      </c>
      <c r="D242" s="35">
        <v>4480.0</v>
      </c>
    </row>
    <row r="243" ht="12.75" customHeight="1">
      <c r="A243" s="32" t="s">
        <v>62</v>
      </c>
      <c r="B243" s="34">
        <v>1.0</v>
      </c>
      <c r="C243" s="35">
        <v>5283.0</v>
      </c>
      <c r="D243" s="35">
        <v>4932.0</v>
      </c>
    </row>
    <row r="244" ht="12.75" customHeight="1">
      <c r="A244" s="32" t="s">
        <v>62</v>
      </c>
      <c r="B244" s="34">
        <v>2.0</v>
      </c>
      <c r="C244" s="35">
        <v>5444.0</v>
      </c>
      <c r="D244" s="35">
        <v>5138.0</v>
      </c>
    </row>
    <row r="245" ht="12.75" customHeight="1">
      <c r="A245" s="32" t="s">
        <v>62</v>
      </c>
      <c r="B245" s="34">
        <v>3.0</v>
      </c>
      <c r="C245" s="35">
        <v>5705.0</v>
      </c>
      <c r="D245" s="35">
        <v>5430.0</v>
      </c>
    </row>
    <row r="246" ht="12.75" customHeight="1">
      <c r="A246" s="32" t="s">
        <v>62</v>
      </c>
      <c r="B246" s="34">
        <v>4.0</v>
      </c>
      <c r="C246" s="35">
        <v>6356.0</v>
      </c>
      <c r="D246" s="35">
        <v>5959.0</v>
      </c>
    </row>
    <row r="247" ht="12.75" customHeight="1">
      <c r="A247" s="32" t="s">
        <v>62</v>
      </c>
      <c r="B247" s="34">
        <v>5.0</v>
      </c>
      <c r="C247" s="35">
        <v>6883.0</v>
      </c>
      <c r="D247" s="35">
        <v>6412.0</v>
      </c>
    </row>
    <row r="248" ht="12.75" customHeight="1">
      <c r="A248" s="32" t="s">
        <v>62</v>
      </c>
      <c r="B248" s="34">
        <v>6.0</v>
      </c>
      <c r="C248" s="35">
        <v>7726.0</v>
      </c>
      <c r="D248" s="35">
        <v>7490.0</v>
      </c>
    </row>
    <row r="249" ht="12.75" customHeight="1">
      <c r="A249" s="32" t="s">
        <v>62</v>
      </c>
      <c r="B249" s="34">
        <v>7.0</v>
      </c>
      <c r="C249" s="35">
        <v>7923.0</v>
      </c>
      <c r="D249" s="35">
        <v>7529.0</v>
      </c>
    </row>
    <row r="250" ht="12.75" customHeight="1">
      <c r="A250" s="32" t="s">
        <v>62</v>
      </c>
      <c r="B250" s="34">
        <v>8.0</v>
      </c>
      <c r="C250" s="35">
        <v>7741.0</v>
      </c>
      <c r="D250" s="35">
        <v>7408.0</v>
      </c>
    </row>
    <row r="251" ht="12.75" customHeight="1">
      <c r="A251" s="32" t="s">
        <v>62</v>
      </c>
      <c r="B251" s="34">
        <v>9.0</v>
      </c>
      <c r="C251" s="35">
        <v>7868.0</v>
      </c>
      <c r="D251" s="35">
        <v>7459.0</v>
      </c>
    </row>
    <row r="252" ht="12.75" customHeight="1">
      <c r="A252" s="32" t="s">
        <v>62</v>
      </c>
      <c r="B252" s="34">
        <v>10.0</v>
      </c>
      <c r="C252" s="35">
        <v>7903.0</v>
      </c>
      <c r="D252" s="35">
        <v>7302.0</v>
      </c>
    </row>
    <row r="253" ht="12.75" customHeight="1">
      <c r="A253" s="32" t="s">
        <v>62</v>
      </c>
      <c r="B253" s="34">
        <v>11.0</v>
      </c>
      <c r="C253" s="35">
        <v>7471.0</v>
      </c>
      <c r="D253" s="35">
        <v>6759.0</v>
      </c>
    </row>
    <row r="254" ht="12.75" customHeight="1">
      <c r="A254" s="32" t="s">
        <v>62</v>
      </c>
      <c r="B254" s="34">
        <v>12.0</v>
      </c>
      <c r="C254" s="35">
        <v>7130.0</v>
      </c>
      <c r="D254" s="35">
        <v>6794.0</v>
      </c>
    </row>
    <row r="255" ht="12.75" customHeight="1">
      <c r="A255" s="32" t="s">
        <v>62</v>
      </c>
      <c r="B255" s="34">
        <v>13.0</v>
      </c>
      <c r="C255" s="35">
        <v>7169.0</v>
      </c>
      <c r="D255" s="35">
        <v>6757.0</v>
      </c>
    </row>
    <row r="256" ht="12.75" customHeight="1">
      <c r="A256" s="32" t="s">
        <v>62</v>
      </c>
      <c r="B256" s="34">
        <v>14.0</v>
      </c>
      <c r="C256" s="35">
        <v>6873.0</v>
      </c>
      <c r="D256" s="35">
        <v>6615.0</v>
      </c>
    </row>
    <row r="257" ht="12.75" customHeight="1">
      <c r="A257" s="32" t="s">
        <v>41</v>
      </c>
      <c r="B257" s="34" t="s">
        <v>395</v>
      </c>
      <c r="C257" s="35">
        <v>62634.0</v>
      </c>
      <c r="D257" s="35">
        <v>59241.0</v>
      </c>
    </row>
    <row r="258" ht="12.75" customHeight="1">
      <c r="A258" s="32" t="s">
        <v>41</v>
      </c>
      <c r="B258" s="34">
        <v>1.0</v>
      </c>
      <c r="C258" s="35">
        <v>63912.0</v>
      </c>
      <c r="D258" s="35">
        <v>60135.0</v>
      </c>
    </row>
    <row r="259" ht="12.75" customHeight="1">
      <c r="A259" s="32" t="s">
        <v>41</v>
      </c>
      <c r="B259" s="34">
        <v>2.0</v>
      </c>
      <c r="C259" s="35">
        <v>62406.0</v>
      </c>
      <c r="D259" s="35">
        <v>58345.0</v>
      </c>
    </row>
    <row r="260" ht="12.75" customHeight="1">
      <c r="A260" s="32" t="s">
        <v>41</v>
      </c>
      <c r="B260" s="34">
        <v>3.0</v>
      </c>
      <c r="C260" s="35">
        <v>67419.0</v>
      </c>
      <c r="D260" s="35">
        <v>63431.0</v>
      </c>
    </row>
    <row r="261" ht="12.75" customHeight="1">
      <c r="A261" s="32" t="s">
        <v>41</v>
      </c>
      <c r="B261" s="34">
        <v>4.0</v>
      </c>
      <c r="C261" s="35">
        <v>66646.0</v>
      </c>
      <c r="D261" s="35">
        <v>61217.0</v>
      </c>
    </row>
    <row r="262" ht="12.75" customHeight="1">
      <c r="A262" s="32" t="s">
        <v>41</v>
      </c>
      <c r="B262" s="34">
        <v>5.0</v>
      </c>
      <c r="C262" s="35">
        <v>67889.0</v>
      </c>
      <c r="D262" s="35">
        <v>63052.0</v>
      </c>
    </row>
    <row r="263" ht="12.75" customHeight="1">
      <c r="A263" s="32" t="s">
        <v>41</v>
      </c>
      <c r="B263" s="34">
        <v>6.0</v>
      </c>
      <c r="C263" s="35">
        <v>73994.0</v>
      </c>
      <c r="D263" s="35">
        <v>69155.0</v>
      </c>
    </row>
    <row r="264" ht="12.75" customHeight="1">
      <c r="A264" s="32" t="s">
        <v>41</v>
      </c>
      <c r="B264" s="34">
        <v>7.0</v>
      </c>
      <c r="C264" s="35">
        <v>74030.0</v>
      </c>
      <c r="D264" s="35">
        <v>68910.0</v>
      </c>
    </row>
    <row r="265" ht="12.75" customHeight="1">
      <c r="A265" s="32" t="s">
        <v>41</v>
      </c>
      <c r="B265" s="34">
        <v>8.0</v>
      </c>
      <c r="C265" s="35">
        <v>72209.0</v>
      </c>
      <c r="D265" s="35">
        <v>67185.0</v>
      </c>
    </row>
    <row r="266" ht="12.75" customHeight="1">
      <c r="A266" s="32" t="s">
        <v>41</v>
      </c>
      <c r="B266" s="34">
        <v>9.0</v>
      </c>
      <c r="C266" s="35">
        <v>71707.0</v>
      </c>
      <c r="D266" s="35">
        <v>66971.0</v>
      </c>
    </row>
    <row r="267" ht="12.75" customHeight="1">
      <c r="A267" s="32" t="s">
        <v>41</v>
      </c>
      <c r="B267" s="34">
        <v>10.0</v>
      </c>
      <c r="C267" s="35">
        <v>71417.0</v>
      </c>
      <c r="D267" s="35">
        <v>65811.0</v>
      </c>
    </row>
    <row r="268" ht="12.75" customHeight="1">
      <c r="A268" s="32" t="s">
        <v>41</v>
      </c>
      <c r="B268" s="34">
        <v>11.0</v>
      </c>
      <c r="C268" s="35">
        <v>67175.0</v>
      </c>
      <c r="D268" s="35">
        <v>63203.0</v>
      </c>
    </row>
    <row r="269" ht="12.75" customHeight="1">
      <c r="A269" s="32" t="s">
        <v>41</v>
      </c>
      <c r="B269" s="34">
        <v>12.0</v>
      </c>
      <c r="C269" s="35">
        <v>69743.0</v>
      </c>
      <c r="D269" s="35">
        <v>64463.0</v>
      </c>
    </row>
    <row r="270" ht="12.75" customHeight="1">
      <c r="A270" s="32" t="s">
        <v>41</v>
      </c>
      <c r="B270" s="34">
        <v>13.0</v>
      </c>
      <c r="C270" s="35">
        <v>65864.0</v>
      </c>
      <c r="D270" s="35">
        <v>62481.0</v>
      </c>
    </row>
    <row r="271" ht="12.75" customHeight="1">
      <c r="A271" s="32" t="s">
        <v>41</v>
      </c>
      <c r="B271" s="34">
        <v>14.0</v>
      </c>
      <c r="C271" s="35">
        <v>59118.0</v>
      </c>
      <c r="D271" s="35">
        <v>57045.0</v>
      </c>
    </row>
    <row r="272" ht="12.75" customHeight="1">
      <c r="A272" s="32" t="s">
        <v>92</v>
      </c>
      <c r="B272" s="34" t="s">
        <v>395</v>
      </c>
      <c r="C272" s="35">
        <v>2243.0</v>
      </c>
      <c r="D272" s="35">
        <v>2095.0</v>
      </c>
    </row>
    <row r="273" ht="12.75" customHeight="1">
      <c r="A273" s="32" t="s">
        <v>92</v>
      </c>
      <c r="B273" s="34">
        <v>1.0</v>
      </c>
      <c r="C273" s="35">
        <v>2176.0</v>
      </c>
      <c r="D273" s="35">
        <v>2078.0</v>
      </c>
    </row>
    <row r="274" ht="12.75" customHeight="1">
      <c r="A274" s="32" t="s">
        <v>92</v>
      </c>
      <c r="B274" s="34">
        <v>2.0</v>
      </c>
      <c r="C274" s="35">
        <v>2087.0</v>
      </c>
      <c r="D274" s="35">
        <v>2031.0</v>
      </c>
    </row>
    <row r="275" ht="12.75" customHeight="1">
      <c r="A275" s="32" t="s">
        <v>92</v>
      </c>
      <c r="B275" s="34">
        <v>3.0</v>
      </c>
      <c r="C275" s="35">
        <v>2277.0</v>
      </c>
      <c r="D275" s="35">
        <v>2209.0</v>
      </c>
    </row>
    <row r="276" ht="12.75" customHeight="1">
      <c r="A276" s="32" t="s">
        <v>92</v>
      </c>
      <c r="B276" s="34">
        <v>4.0</v>
      </c>
      <c r="C276" s="35">
        <v>2624.0</v>
      </c>
      <c r="D276" s="35">
        <v>2452.0</v>
      </c>
    </row>
    <row r="277" ht="12.75" customHeight="1">
      <c r="A277" s="32" t="s">
        <v>92</v>
      </c>
      <c r="B277" s="34">
        <v>5.0</v>
      </c>
      <c r="C277" s="35">
        <v>2756.0</v>
      </c>
      <c r="D277" s="35">
        <v>2617.0</v>
      </c>
    </row>
    <row r="278" ht="12.75" customHeight="1">
      <c r="A278" s="32" t="s">
        <v>92</v>
      </c>
      <c r="B278" s="34">
        <v>6.0</v>
      </c>
      <c r="C278" s="35">
        <v>3109.0</v>
      </c>
      <c r="D278" s="35">
        <v>3104.0</v>
      </c>
    </row>
    <row r="279" ht="12.75" customHeight="1">
      <c r="A279" s="32" t="s">
        <v>92</v>
      </c>
      <c r="B279" s="34">
        <v>7.0</v>
      </c>
      <c r="C279" s="35">
        <v>3316.0</v>
      </c>
      <c r="D279" s="35">
        <v>3158.0</v>
      </c>
    </row>
    <row r="280" ht="12.75" customHeight="1">
      <c r="A280" s="32" t="s">
        <v>92</v>
      </c>
      <c r="B280" s="34">
        <v>8.0</v>
      </c>
      <c r="C280" s="35">
        <v>3273.0</v>
      </c>
      <c r="D280" s="35">
        <v>3269.0</v>
      </c>
    </row>
    <row r="281" ht="12.75" customHeight="1">
      <c r="A281" s="32" t="s">
        <v>92</v>
      </c>
      <c r="B281" s="34">
        <v>9.0</v>
      </c>
      <c r="C281" s="35">
        <v>3239.0</v>
      </c>
      <c r="D281" s="35">
        <v>3076.0</v>
      </c>
    </row>
    <row r="282" ht="12.75" customHeight="1">
      <c r="A282" s="32" t="s">
        <v>92</v>
      </c>
      <c r="B282" s="34">
        <v>10.0</v>
      </c>
      <c r="C282" s="35">
        <v>3414.0</v>
      </c>
      <c r="D282" s="35">
        <v>3213.0</v>
      </c>
    </row>
    <row r="283" ht="12.75" customHeight="1">
      <c r="A283" s="32" t="s">
        <v>92</v>
      </c>
      <c r="B283" s="34">
        <v>11.0</v>
      </c>
      <c r="C283" s="35">
        <v>3148.0</v>
      </c>
      <c r="D283" s="35">
        <v>3070.0</v>
      </c>
    </row>
    <row r="284" ht="12.75" customHeight="1">
      <c r="A284" s="32" t="s">
        <v>92</v>
      </c>
      <c r="B284" s="34">
        <v>12.0</v>
      </c>
      <c r="C284" s="35">
        <v>3261.0</v>
      </c>
      <c r="D284" s="35">
        <v>3048.0</v>
      </c>
    </row>
    <row r="285" ht="12.75" customHeight="1">
      <c r="A285" s="32" t="s">
        <v>92</v>
      </c>
      <c r="B285" s="34">
        <v>13.0</v>
      </c>
      <c r="C285" s="35">
        <v>3256.0</v>
      </c>
      <c r="D285" s="35">
        <v>3109.0</v>
      </c>
    </row>
    <row r="286" ht="12.75" customHeight="1">
      <c r="A286" s="32" t="s">
        <v>92</v>
      </c>
      <c r="B286" s="34">
        <v>14.0</v>
      </c>
      <c r="C286" s="35">
        <v>3058.0</v>
      </c>
      <c r="D286" s="35">
        <v>3063.0</v>
      </c>
    </row>
    <row r="287" ht="12.75" customHeight="1">
      <c r="A287" s="32" t="s">
        <v>95</v>
      </c>
      <c r="B287" s="34" t="s">
        <v>395</v>
      </c>
      <c r="C287" s="35">
        <v>3270.0</v>
      </c>
      <c r="D287" s="35">
        <v>3101.0</v>
      </c>
    </row>
    <row r="288" ht="12.75" customHeight="1">
      <c r="A288" s="32" t="s">
        <v>95</v>
      </c>
      <c r="B288" s="34">
        <v>1.0</v>
      </c>
      <c r="C288" s="35">
        <v>3079.0</v>
      </c>
      <c r="D288" s="35">
        <v>3053.0</v>
      </c>
    </row>
    <row r="289" ht="12.75" customHeight="1">
      <c r="A289" s="32" t="s">
        <v>95</v>
      </c>
      <c r="B289" s="34">
        <v>2.0</v>
      </c>
      <c r="C289" s="35">
        <v>3232.0</v>
      </c>
      <c r="D289" s="35">
        <v>3072.0</v>
      </c>
    </row>
    <row r="290" ht="12.75" customHeight="1">
      <c r="A290" s="32" t="s">
        <v>95</v>
      </c>
      <c r="B290" s="34">
        <v>3.0</v>
      </c>
      <c r="C290" s="35">
        <v>3438.0</v>
      </c>
      <c r="D290" s="35">
        <v>3305.0</v>
      </c>
    </row>
    <row r="291" ht="12.75" customHeight="1">
      <c r="A291" s="32" t="s">
        <v>95</v>
      </c>
      <c r="B291" s="34">
        <v>4.0</v>
      </c>
      <c r="C291" s="35">
        <v>3743.0</v>
      </c>
      <c r="D291" s="35">
        <v>3505.0</v>
      </c>
    </row>
    <row r="292" ht="12.75" customHeight="1">
      <c r="A292" s="32" t="s">
        <v>95</v>
      </c>
      <c r="B292" s="34">
        <v>5.0</v>
      </c>
      <c r="C292" s="35">
        <v>4170.0</v>
      </c>
      <c r="D292" s="35">
        <v>4210.0</v>
      </c>
    </row>
    <row r="293" ht="12.75" customHeight="1">
      <c r="A293" s="32" t="s">
        <v>95</v>
      </c>
      <c r="B293" s="34">
        <v>6.0</v>
      </c>
      <c r="C293" s="35">
        <v>4802.0</v>
      </c>
      <c r="D293" s="35">
        <v>4613.0</v>
      </c>
    </row>
    <row r="294" ht="12.75" customHeight="1">
      <c r="A294" s="32" t="s">
        <v>95</v>
      </c>
      <c r="B294" s="34">
        <v>7.0</v>
      </c>
      <c r="C294" s="35">
        <v>5024.0</v>
      </c>
      <c r="D294" s="35">
        <v>4760.0</v>
      </c>
    </row>
    <row r="295" ht="12.75" customHeight="1">
      <c r="A295" s="32" t="s">
        <v>95</v>
      </c>
      <c r="B295" s="34">
        <v>8.0</v>
      </c>
      <c r="C295" s="35">
        <v>5091.0</v>
      </c>
      <c r="D295" s="35">
        <v>5100.0</v>
      </c>
    </row>
    <row r="296" ht="12.75" customHeight="1">
      <c r="A296" s="32" t="s">
        <v>95</v>
      </c>
      <c r="B296" s="34">
        <v>9.0</v>
      </c>
      <c r="C296" s="35">
        <v>5270.0</v>
      </c>
      <c r="D296" s="35">
        <v>4895.0</v>
      </c>
    </row>
    <row r="297" ht="12.75" customHeight="1">
      <c r="A297" s="32" t="s">
        <v>95</v>
      </c>
      <c r="B297" s="34">
        <v>10.0</v>
      </c>
      <c r="C297" s="35">
        <v>5147.0</v>
      </c>
      <c r="D297" s="35">
        <v>4822.0</v>
      </c>
    </row>
    <row r="298" ht="12.75" customHeight="1">
      <c r="A298" s="32" t="s">
        <v>95</v>
      </c>
      <c r="B298" s="34">
        <v>11.0</v>
      </c>
      <c r="C298" s="35">
        <v>4678.0</v>
      </c>
      <c r="D298" s="35">
        <v>4503.0</v>
      </c>
    </row>
    <row r="299" ht="12.75" customHeight="1">
      <c r="A299" s="32" t="s">
        <v>95</v>
      </c>
      <c r="B299" s="34">
        <v>12.0</v>
      </c>
      <c r="C299" s="35">
        <v>4708.0</v>
      </c>
      <c r="D299" s="35">
        <v>4609.0</v>
      </c>
    </row>
    <row r="300" ht="12.75" customHeight="1">
      <c r="A300" s="32" t="s">
        <v>95</v>
      </c>
      <c r="B300" s="34">
        <v>13.0</v>
      </c>
      <c r="C300" s="35">
        <v>4677.0</v>
      </c>
      <c r="D300" s="35">
        <v>4513.0</v>
      </c>
    </row>
    <row r="301" ht="12.75" customHeight="1">
      <c r="A301" s="32" t="s">
        <v>95</v>
      </c>
      <c r="B301" s="34">
        <v>14.0</v>
      </c>
      <c r="C301" s="35">
        <v>4524.0</v>
      </c>
      <c r="D301" s="35">
        <v>4532.0</v>
      </c>
    </row>
    <row r="302" ht="12.75" customHeight="1">
      <c r="A302" s="32" t="s">
        <v>65</v>
      </c>
      <c r="B302" s="34" t="s">
        <v>395</v>
      </c>
      <c r="C302" s="35">
        <v>227.0</v>
      </c>
      <c r="D302" s="35">
        <v>254.0</v>
      </c>
    </row>
    <row r="303" ht="12.75" customHeight="1">
      <c r="A303" s="32" t="s">
        <v>65</v>
      </c>
      <c r="B303" s="34">
        <v>1.0</v>
      </c>
      <c r="C303" s="35">
        <v>238.0</v>
      </c>
      <c r="D303" s="35">
        <v>215.0</v>
      </c>
    </row>
    <row r="304" ht="12.75" customHeight="1">
      <c r="A304" s="32" t="s">
        <v>65</v>
      </c>
      <c r="B304" s="34">
        <v>2.0</v>
      </c>
      <c r="C304" s="35">
        <v>260.0</v>
      </c>
      <c r="D304" s="35">
        <v>213.0</v>
      </c>
    </row>
    <row r="305" ht="12.75" customHeight="1">
      <c r="A305" s="32" t="s">
        <v>65</v>
      </c>
      <c r="B305" s="34">
        <v>3.0</v>
      </c>
      <c r="C305" s="35">
        <v>245.0</v>
      </c>
      <c r="D305" s="35">
        <v>225.0</v>
      </c>
    </row>
    <row r="306" ht="12.75" customHeight="1">
      <c r="A306" s="32" t="s">
        <v>65</v>
      </c>
      <c r="B306" s="34">
        <v>4.0</v>
      </c>
      <c r="C306" s="35">
        <v>290.0</v>
      </c>
      <c r="D306" s="35">
        <v>248.0</v>
      </c>
    </row>
    <row r="307" ht="12.75" customHeight="1">
      <c r="A307" s="32" t="s">
        <v>65</v>
      </c>
      <c r="B307" s="34">
        <v>5.0</v>
      </c>
      <c r="C307" s="35">
        <v>251.0</v>
      </c>
      <c r="D307" s="35">
        <v>300.0</v>
      </c>
    </row>
    <row r="308" ht="12.75" customHeight="1">
      <c r="A308" s="32" t="s">
        <v>65</v>
      </c>
      <c r="B308" s="34">
        <v>6.0</v>
      </c>
      <c r="C308" s="35">
        <v>361.0</v>
      </c>
      <c r="D308" s="35">
        <v>333.0</v>
      </c>
    </row>
    <row r="309" ht="12.75" customHeight="1">
      <c r="A309" s="32" t="s">
        <v>65</v>
      </c>
      <c r="B309" s="34">
        <v>7.0</v>
      </c>
      <c r="C309" s="35">
        <v>376.0</v>
      </c>
      <c r="D309" s="35">
        <v>334.0</v>
      </c>
    </row>
    <row r="310" ht="12.75" customHeight="1">
      <c r="A310" s="32" t="s">
        <v>65</v>
      </c>
      <c r="B310" s="34">
        <v>8.0</v>
      </c>
      <c r="C310" s="35">
        <v>320.0</v>
      </c>
      <c r="D310" s="35">
        <v>293.0</v>
      </c>
    </row>
    <row r="311" ht="12.75" customHeight="1">
      <c r="A311" s="32" t="s">
        <v>65</v>
      </c>
      <c r="B311" s="34">
        <v>9.0</v>
      </c>
      <c r="C311" s="35">
        <v>319.0</v>
      </c>
      <c r="D311" s="35">
        <v>296.0</v>
      </c>
    </row>
    <row r="312" ht="12.75" customHeight="1">
      <c r="A312" s="32" t="s">
        <v>65</v>
      </c>
      <c r="B312" s="34">
        <v>10.0</v>
      </c>
      <c r="C312" s="35">
        <v>350.0</v>
      </c>
      <c r="D312" s="35">
        <v>329.0</v>
      </c>
    </row>
    <row r="313" ht="12.75" customHeight="1">
      <c r="A313" s="32" t="s">
        <v>65</v>
      </c>
      <c r="B313" s="34">
        <v>11.0</v>
      </c>
      <c r="C313" s="35">
        <v>291.0</v>
      </c>
      <c r="D313" s="35">
        <v>288.0</v>
      </c>
    </row>
    <row r="314" ht="12.75" customHeight="1">
      <c r="A314" s="32" t="s">
        <v>65</v>
      </c>
      <c r="B314" s="34">
        <v>12.0</v>
      </c>
      <c r="C314" s="35">
        <v>341.0</v>
      </c>
      <c r="D314" s="35">
        <v>289.0</v>
      </c>
    </row>
    <row r="315" ht="12.75" customHeight="1">
      <c r="A315" s="32" t="s">
        <v>65</v>
      </c>
      <c r="B315" s="34">
        <v>13.0</v>
      </c>
      <c r="C315" s="35">
        <v>310.0</v>
      </c>
      <c r="D315" s="35">
        <v>310.0</v>
      </c>
    </row>
    <row r="316" ht="12.75" customHeight="1">
      <c r="A316" s="32" t="s">
        <v>65</v>
      </c>
      <c r="B316" s="34">
        <v>14.0</v>
      </c>
      <c r="C316" s="35">
        <v>312.0</v>
      </c>
      <c r="D316" s="35">
        <v>289.0</v>
      </c>
    </row>
    <row r="317" ht="12.75" customHeight="1">
      <c r="A317" s="32" t="s">
        <v>68</v>
      </c>
      <c r="B317" s="34" t="s">
        <v>395</v>
      </c>
      <c r="C317" s="35">
        <v>3925.0</v>
      </c>
      <c r="D317" s="35">
        <v>3733.0</v>
      </c>
    </row>
    <row r="318" ht="12.75" customHeight="1">
      <c r="A318" s="32" t="s">
        <v>68</v>
      </c>
      <c r="B318" s="34">
        <v>1.0</v>
      </c>
      <c r="C318" s="35">
        <v>4050.0</v>
      </c>
      <c r="D318" s="35">
        <v>3755.0</v>
      </c>
    </row>
    <row r="319" ht="12.75" customHeight="1">
      <c r="A319" s="32" t="s">
        <v>68</v>
      </c>
      <c r="B319" s="34">
        <v>2.0</v>
      </c>
      <c r="C319" s="35">
        <v>4122.0</v>
      </c>
      <c r="D319" s="35">
        <v>3894.0</v>
      </c>
    </row>
    <row r="320" ht="12.75" customHeight="1">
      <c r="A320" s="32" t="s">
        <v>68</v>
      </c>
      <c r="B320" s="34">
        <v>3.0</v>
      </c>
      <c r="C320" s="35">
        <v>4659.0</v>
      </c>
      <c r="D320" s="35">
        <v>4215.0</v>
      </c>
    </row>
    <row r="321" ht="12.75" customHeight="1">
      <c r="A321" s="32" t="s">
        <v>68</v>
      </c>
      <c r="B321" s="34">
        <v>4.0</v>
      </c>
      <c r="C321" s="35">
        <v>5077.0</v>
      </c>
      <c r="D321" s="35">
        <v>4608.0</v>
      </c>
    </row>
    <row r="322" ht="12.75" customHeight="1">
      <c r="A322" s="32" t="s">
        <v>68</v>
      </c>
      <c r="B322" s="34">
        <v>5.0</v>
      </c>
      <c r="C322" s="35">
        <v>5440.0</v>
      </c>
      <c r="D322" s="35">
        <v>5135.0</v>
      </c>
    </row>
    <row r="323" ht="12.75" customHeight="1">
      <c r="A323" s="32" t="s">
        <v>68</v>
      </c>
      <c r="B323" s="34">
        <v>6.0</v>
      </c>
      <c r="C323" s="35">
        <v>6201.0</v>
      </c>
      <c r="D323" s="35">
        <v>5709.0</v>
      </c>
    </row>
    <row r="324" ht="12.75" customHeight="1">
      <c r="A324" s="32" t="s">
        <v>68</v>
      </c>
      <c r="B324" s="34">
        <v>7.0</v>
      </c>
      <c r="C324" s="35">
        <v>6301.0</v>
      </c>
      <c r="D324" s="35">
        <v>5787.0</v>
      </c>
    </row>
    <row r="325" ht="12.75" customHeight="1">
      <c r="A325" s="32" t="s">
        <v>68</v>
      </c>
      <c r="B325" s="34">
        <v>8.0</v>
      </c>
      <c r="C325" s="35">
        <v>6622.0</v>
      </c>
      <c r="D325" s="35">
        <v>5781.0</v>
      </c>
    </row>
    <row r="326" ht="12.75" customHeight="1">
      <c r="A326" s="32" t="s">
        <v>68</v>
      </c>
      <c r="B326" s="34">
        <v>9.0</v>
      </c>
      <c r="C326" s="35">
        <v>6581.0</v>
      </c>
      <c r="D326" s="35">
        <v>5834.0</v>
      </c>
    </row>
    <row r="327" ht="12.75" customHeight="1">
      <c r="A327" s="32" t="s">
        <v>68</v>
      </c>
      <c r="B327" s="34">
        <v>10.0</v>
      </c>
      <c r="C327" s="35">
        <v>6563.0</v>
      </c>
      <c r="D327" s="35">
        <v>5814.0</v>
      </c>
    </row>
    <row r="328" ht="12.75" customHeight="1">
      <c r="A328" s="32" t="s">
        <v>68</v>
      </c>
      <c r="B328" s="34">
        <v>11.0</v>
      </c>
      <c r="C328" s="35">
        <v>6318.0</v>
      </c>
      <c r="D328" s="35">
        <v>5751.0</v>
      </c>
    </row>
    <row r="329" ht="12.75" customHeight="1">
      <c r="A329" s="32" t="s">
        <v>68</v>
      </c>
      <c r="B329" s="34">
        <v>12.0</v>
      </c>
      <c r="C329" s="35">
        <v>6044.0</v>
      </c>
      <c r="D329" s="35">
        <v>5960.0</v>
      </c>
    </row>
    <row r="330" ht="12.75" customHeight="1">
      <c r="A330" s="32" t="s">
        <v>68</v>
      </c>
      <c r="B330" s="34">
        <v>13.0</v>
      </c>
      <c r="C330" s="35">
        <v>6115.0</v>
      </c>
      <c r="D330" s="35">
        <v>5773.0</v>
      </c>
    </row>
    <row r="331" ht="12.75" customHeight="1">
      <c r="A331" s="32" t="s">
        <v>68</v>
      </c>
      <c r="B331" s="34">
        <v>14.0</v>
      </c>
      <c r="C331" s="35">
        <v>5832.0</v>
      </c>
      <c r="D331" s="35">
        <v>5641.0</v>
      </c>
    </row>
    <row r="332" ht="12.75" customHeight="1">
      <c r="A332" s="32" t="s">
        <v>71</v>
      </c>
      <c r="B332" s="34" t="s">
        <v>395</v>
      </c>
      <c r="C332" s="35">
        <v>4794.0</v>
      </c>
      <c r="D332" s="35">
        <v>4453.0</v>
      </c>
    </row>
    <row r="333" ht="12.75" customHeight="1">
      <c r="A333" s="32" t="s">
        <v>71</v>
      </c>
      <c r="B333" s="34">
        <v>1.0</v>
      </c>
      <c r="C333" s="35">
        <v>5300.0</v>
      </c>
      <c r="D333" s="35">
        <v>4984.0</v>
      </c>
    </row>
    <row r="334" ht="12.75" customHeight="1">
      <c r="A334" s="32" t="s">
        <v>71</v>
      </c>
      <c r="B334" s="34">
        <v>2.0</v>
      </c>
      <c r="C334" s="35">
        <v>5444.0</v>
      </c>
      <c r="D334" s="35">
        <v>5202.0</v>
      </c>
    </row>
    <row r="335" ht="12.75" customHeight="1">
      <c r="A335" s="32" t="s">
        <v>71</v>
      </c>
      <c r="B335" s="34">
        <v>3.0</v>
      </c>
      <c r="C335" s="35">
        <v>5638.0</v>
      </c>
      <c r="D335" s="35">
        <v>5361.0</v>
      </c>
    </row>
    <row r="336" ht="12.75" customHeight="1">
      <c r="A336" s="32" t="s">
        <v>71</v>
      </c>
      <c r="B336" s="34">
        <v>4.0</v>
      </c>
      <c r="C336" s="35">
        <v>6299.0</v>
      </c>
      <c r="D336" s="35">
        <v>5822.0</v>
      </c>
    </row>
    <row r="337" ht="12.75" customHeight="1">
      <c r="A337" s="32" t="s">
        <v>71</v>
      </c>
      <c r="B337" s="34">
        <v>5.0</v>
      </c>
      <c r="C337" s="35">
        <v>6732.0</v>
      </c>
      <c r="D337" s="35">
        <v>6524.0</v>
      </c>
    </row>
    <row r="338" ht="12.75" customHeight="1">
      <c r="A338" s="32" t="s">
        <v>71</v>
      </c>
      <c r="B338" s="34">
        <v>6.0</v>
      </c>
      <c r="C338" s="35">
        <v>7821.0</v>
      </c>
      <c r="D338" s="35">
        <v>7648.0</v>
      </c>
    </row>
    <row r="339" ht="12.75" customHeight="1">
      <c r="A339" s="32" t="s">
        <v>71</v>
      </c>
      <c r="B339" s="34">
        <v>7.0</v>
      </c>
      <c r="C339" s="35">
        <v>8148.0</v>
      </c>
      <c r="D339" s="35">
        <v>7907.0</v>
      </c>
    </row>
    <row r="340" ht="12.75" customHeight="1">
      <c r="A340" s="32" t="s">
        <v>71</v>
      </c>
      <c r="B340" s="34">
        <v>8.0</v>
      </c>
      <c r="C340" s="35">
        <v>8068.0</v>
      </c>
      <c r="D340" s="35">
        <v>7734.0</v>
      </c>
    </row>
    <row r="341" ht="12.75" customHeight="1">
      <c r="A341" s="32" t="s">
        <v>71</v>
      </c>
      <c r="B341" s="34">
        <v>9.0</v>
      </c>
      <c r="C341" s="35">
        <v>8266.0</v>
      </c>
      <c r="D341" s="35">
        <v>7798.0</v>
      </c>
    </row>
    <row r="342" ht="12.75" customHeight="1">
      <c r="A342" s="32" t="s">
        <v>71</v>
      </c>
      <c r="B342" s="34">
        <v>10.0</v>
      </c>
      <c r="C342" s="35">
        <v>8332.0</v>
      </c>
      <c r="D342" s="35">
        <v>8006.0</v>
      </c>
    </row>
    <row r="343" ht="12.75" customHeight="1">
      <c r="A343" s="32" t="s">
        <v>71</v>
      </c>
      <c r="B343" s="34">
        <v>11.0</v>
      </c>
      <c r="C343" s="35">
        <v>7694.0</v>
      </c>
      <c r="D343" s="35">
        <v>7433.0</v>
      </c>
    </row>
    <row r="344" ht="12.75" customHeight="1">
      <c r="A344" s="32" t="s">
        <v>71</v>
      </c>
      <c r="B344" s="34">
        <v>12.0</v>
      </c>
      <c r="C344" s="35">
        <v>7152.0</v>
      </c>
      <c r="D344" s="35">
        <v>6908.0</v>
      </c>
    </row>
    <row r="345" ht="12.75" customHeight="1">
      <c r="A345" s="32" t="s">
        <v>71</v>
      </c>
      <c r="B345" s="34">
        <v>13.0</v>
      </c>
      <c r="C345" s="35">
        <v>7199.0</v>
      </c>
      <c r="D345" s="35">
        <v>6788.0</v>
      </c>
    </row>
    <row r="346" ht="12.75" customHeight="1">
      <c r="A346" s="32" t="s">
        <v>71</v>
      </c>
      <c r="B346" s="34">
        <v>14.0</v>
      </c>
      <c r="C346" s="35">
        <v>7130.0</v>
      </c>
      <c r="D346" s="35">
        <v>6783.0</v>
      </c>
    </row>
    <row r="347" ht="12.75" customHeight="1">
      <c r="A347" s="32" t="s">
        <v>74</v>
      </c>
      <c r="B347" s="34" t="s">
        <v>395</v>
      </c>
      <c r="C347" s="35">
        <v>4168.0</v>
      </c>
      <c r="D347" s="35">
        <v>3992.0</v>
      </c>
    </row>
    <row r="348" ht="12.75" customHeight="1">
      <c r="A348" s="32" t="s">
        <v>74</v>
      </c>
      <c r="B348" s="34">
        <v>1.0</v>
      </c>
      <c r="C348" s="35">
        <v>4640.0</v>
      </c>
      <c r="D348" s="35">
        <v>4392.0</v>
      </c>
    </row>
    <row r="349" ht="12.75" customHeight="1">
      <c r="A349" s="32" t="s">
        <v>74</v>
      </c>
      <c r="B349" s="34">
        <v>2.0</v>
      </c>
      <c r="C349" s="35">
        <v>4801.0</v>
      </c>
      <c r="D349" s="35">
        <v>4590.0</v>
      </c>
    </row>
    <row r="350" ht="12.75" customHeight="1">
      <c r="A350" s="32" t="s">
        <v>74</v>
      </c>
      <c r="B350" s="34">
        <v>3.0</v>
      </c>
      <c r="C350" s="35">
        <v>5066.0</v>
      </c>
      <c r="D350" s="35">
        <v>4750.0</v>
      </c>
    </row>
    <row r="351" ht="12.75" customHeight="1">
      <c r="A351" s="32" t="s">
        <v>74</v>
      </c>
      <c r="B351" s="34">
        <v>4.0</v>
      </c>
      <c r="C351" s="35">
        <v>5653.0</v>
      </c>
      <c r="D351" s="35">
        <v>5238.0</v>
      </c>
    </row>
    <row r="352" ht="12.75" customHeight="1">
      <c r="A352" s="32" t="s">
        <v>74</v>
      </c>
      <c r="B352" s="34">
        <v>5.0</v>
      </c>
      <c r="C352" s="35">
        <v>5907.0</v>
      </c>
      <c r="D352" s="35">
        <v>5601.0</v>
      </c>
    </row>
    <row r="353" ht="12.75" customHeight="1">
      <c r="A353" s="32" t="s">
        <v>74</v>
      </c>
      <c r="B353" s="34">
        <v>6.0</v>
      </c>
      <c r="C353" s="35">
        <v>6686.0</v>
      </c>
      <c r="D353" s="35">
        <v>6299.0</v>
      </c>
    </row>
    <row r="354" ht="12.75" customHeight="1">
      <c r="A354" s="32" t="s">
        <v>74</v>
      </c>
      <c r="B354" s="34">
        <v>7.0</v>
      </c>
      <c r="C354" s="35">
        <v>6661.0</v>
      </c>
      <c r="D354" s="35">
        <v>6486.0</v>
      </c>
    </row>
    <row r="355" ht="12.75" customHeight="1">
      <c r="A355" s="32" t="s">
        <v>74</v>
      </c>
      <c r="B355" s="34">
        <v>8.0</v>
      </c>
      <c r="C355" s="35">
        <v>6750.0</v>
      </c>
      <c r="D355" s="35">
        <v>6409.0</v>
      </c>
    </row>
    <row r="356" ht="12.75" customHeight="1">
      <c r="A356" s="32" t="s">
        <v>74</v>
      </c>
      <c r="B356" s="34">
        <v>9.0</v>
      </c>
      <c r="C356" s="35">
        <v>6705.0</v>
      </c>
      <c r="D356" s="35">
        <v>6233.0</v>
      </c>
    </row>
    <row r="357" ht="12.75" customHeight="1">
      <c r="A357" s="32" t="s">
        <v>74</v>
      </c>
      <c r="B357" s="34">
        <v>10.0</v>
      </c>
      <c r="C357" s="35">
        <v>6598.0</v>
      </c>
      <c r="D357" s="35">
        <v>6230.0</v>
      </c>
    </row>
    <row r="358" ht="12.75" customHeight="1">
      <c r="A358" s="32" t="s">
        <v>74</v>
      </c>
      <c r="B358" s="34">
        <v>11.0</v>
      </c>
      <c r="C358" s="35">
        <v>6282.0</v>
      </c>
      <c r="D358" s="35">
        <v>5935.0</v>
      </c>
    </row>
    <row r="359" ht="12.75" customHeight="1">
      <c r="A359" s="32" t="s">
        <v>74</v>
      </c>
      <c r="B359" s="34">
        <v>12.0</v>
      </c>
      <c r="C359" s="35">
        <v>6144.0</v>
      </c>
      <c r="D359" s="35">
        <v>5747.0</v>
      </c>
    </row>
    <row r="360" ht="12.75" customHeight="1">
      <c r="A360" s="32" t="s">
        <v>74</v>
      </c>
      <c r="B360" s="34">
        <v>13.0</v>
      </c>
      <c r="C360" s="35">
        <v>6124.0</v>
      </c>
      <c r="D360" s="35">
        <v>5708.0</v>
      </c>
    </row>
    <row r="361" ht="12.75" customHeight="1">
      <c r="A361" s="32" t="s">
        <v>74</v>
      </c>
      <c r="B361" s="34">
        <v>14.0</v>
      </c>
      <c r="C361" s="35">
        <v>6217.0</v>
      </c>
      <c r="D361" s="35">
        <v>5706.0</v>
      </c>
    </row>
    <row r="362" ht="12.75" customHeight="1">
      <c r="A362" s="32" t="s">
        <v>80</v>
      </c>
      <c r="B362" s="34" t="s">
        <v>395</v>
      </c>
      <c r="C362" s="35">
        <v>7035.0</v>
      </c>
      <c r="D362" s="35">
        <v>6623.0</v>
      </c>
    </row>
    <row r="363" ht="12.75" customHeight="1">
      <c r="A363" s="32" t="s">
        <v>80</v>
      </c>
      <c r="B363" s="34">
        <v>1.0</v>
      </c>
      <c r="C363" s="35">
        <v>7944.0</v>
      </c>
      <c r="D363" s="35">
        <v>7379.0</v>
      </c>
    </row>
    <row r="364" ht="12.75" customHeight="1">
      <c r="A364" s="32" t="s">
        <v>80</v>
      </c>
      <c r="B364" s="34">
        <v>2.0</v>
      </c>
      <c r="C364" s="35">
        <v>7617.0</v>
      </c>
      <c r="D364" s="35">
        <v>7219.0</v>
      </c>
    </row>
    <row r="365" ht="12.75" customHeight="1">
      <c r="A365" s="32" t="s">
        <v>80</v>
      </c>
      <c r="B365" s="34">
        <v>3.0</v>
      </c>
      <c r="C365" s="35">
        <v>8134.0</v>
      </c>
      <c r="D365" s="35">
        <v>7785.0</v>
      </c>
    </row>
    <row r="366" ht="12.75" customHeight="1">
      <c r="A366" s="32" t="s">
        <v>80</v>
      </c>
      <c r="B366" s="34">
        <v>4.0</v>
      </c>
      <c r="C366" s="35">
        <v>8963.0</v>
      </c>
      <c r="D366" s="35">
        <v>8409.0</v>
      </c>
    </row>
    <row r="367" ht="12.75" customHeight="1">
      <c r="A367" s="32" t="s">
        <v>80</v>
      </c>
      <c r="B367" s="34">
        <v>5.0</v>
      </c>
      <c r="C367" s="35">
        <v>9252.0</v>
      </c>
      <c r="D367" s="35">
        <v>8513.0</v>
      </c>
    </row>
    <row r="368" ht="12.75" customHeight="1">
      <c r="A368" s="32" t="s">
        <v>80</v>
      </c>
      <c r="B368" s="34">
        <v>6.0</v>
      </c>
      <c r="C368" s="35">
        <v>9839.0</v>
      </c>
      <c r="D368" s="35">
        <v>9601.0</v>
      </c>
    </row>
    <row r="369" ht="12.75" customHeight="1">
      <c r="A369" s="32" t="s">
        <v>80</v>
      </c>
      <c r="B369" s="34">
        <v>7.0</v>
      </c>
      <c r="C369" s="35">
        <v>10936.0</v>
      </c>
      <c r="D369" s="35">
        <v>10230.0</v>
      </c>
    </row>
    <row r="370" ht="12.75" customHeight="1">
      <c r="A370" s="32" t="s">
        <v>80</v>
      </c>
      <c r="B370" s="34">
        <v>8.0</v>
      </c>
      <c r="C370" s="35">
        <v>9675.0</v>
      </c>
      <c r="D370" s="35">
        <v>9430.0</v>
      </c>
    </row>
    <row r="371" ht="12.75" customHeight="1">
      <c r="A371" s="32" t="s">
        <v>80</v>
      </c>
      <c r="B371" s="34">
        <v>9.0</v>
      </c>
      <c r="C371" s="35">
        <v>9705.0</v>
      </c>
      <c r="D371" s="35">
        <v>9081.0</v>
      </c>
    </row>
    <row r="372" ht="12.75" customHeight="1">
      <c r="A372" s="32" t="s">
        <v>80</v>
      </c>
      <c r="B372" s="34">
        <v>10.0</v>
      </c>
      <c r="C372" s="35">
        <v>9798.0</v>
      </c>
      <c r="D372" s="35">
        <v>9263.0</v>
      </c>
    </row>
    <row r="373" ht="12.75" customHeight="1">
      <c r="A373" s="32" t="s">
        <v>80</v>
      </c>
      <c r="B373" s="34">
        <v>11.0</v>
      </c>
      <c r="C373" s="35">
        <v>9417.0</v>
      </c>
      <c r="D373" s="35">
        <v>8786.0</v>
      </c>
    </row>
    <row r="374" ht="12.75" customHeight="1">
      <c r="A374" s="32" t="s">
        <v>80</v>
      </c>
      <c r="B374" s="34">
        <v>12.0</v>
      </c>
      <c r="C374" s="35">
        <v>10510.0</v>
      </c>
      <c r="D374" s="35">
        <v>9955.0</v>
      </c>
    </row>
    <row r="375" ht="12.75" customHeight="1">
      <c r="A375" s="32" t="s">
        <v>80</v>
      </c>
      <c r="B375" s="34">
        <v>13.0</v>
      </c>
      <c r="C375" s="35">
        <v>9924.0</v>
      </c>
      <c r="D375" s="35">
        <v>9455.0</v>
      </c>
    </row>
    <row r="376" ht="12.75" customHeight="1">
      <c r="A376" s="32" t="s">
        <v>80</v>
      </c>
      <c r="B376" s="34">
        <v>14.0</v>
      </c>
      <c r="C376" s="35">
        <v>9049.0</v>
      </c>
      <c r="D376" s="35">
        <v>8617.0</v>
      </c>
    </row>
    <row r="377" ht="12.75" customHeight="1">
      <c r="A377" s="32" t="s">
        <v>83</v>
      </c>
      <c r="B377" s="34" t="s">
        <v>395</v>
      </c>
      <c r="C377" s="35">
        <v>2887.0</v>
      </c>
      <c r="D377" s="35">
        <v>2799.0</v>
      </c>
    </row>
    <row r="378" ht="12.75" customHeight="1">
      <c r="A378" s="32" t="s">
        <v>83</v>
      </c>
      <c r="B378" s="34">
        <v>1.0</v>
      </c>
      <c r="C378" s="35">
        <v>3149.0</v>
      </c>
      <c r="D378" s="35">
        <v>3051.0</v>
      </c>
    </row>
    <row r="379" ht="12.75" customHeight="1">
      <c r="A379" s="32" t="s">
        <v>83</v>
      </c>
      <c r="B379" s="34">
        <v>2.0</v>
      </c>
      <c r="C379" s="35">
        <v>3376.0</v>
      </c>
      <c r="D379" s="35">
        <v>3226.0</v>
      </c>
    </row>
    <row r="380" ht="12.75" customHeight="1">
      <c r="A380" s="32" t="s">
        <v>83</v>
      </c>
      <c r="B380" s="34">
        <v>3.0</v>
      </c>
      <c r="C380" s="35">
        <v>3453.0</v>
      </c>
      <c r="D380" s="35">
        <v>3372.0</v>
      </c>
    </row>
    <row r="381" ht="12.75" customHeight="1">
      <c r="A381" s="32" t="s">
        <v>83</v>
      </c>
      <c r="B381" s="34">
        <v>4.0</v>
      </c>
      <c r="C381" s="35">
        <v>3854.0</v>
      </c>
      <c r="D381" s="35">
        <v>3557.0</v>
      </c>
    </row>
    <row r="382" ht="12.75" customHeight="1">
      <c r="A382" s="32" t="s">
        <v>83</v>
      </c>
      <c r="B382" s="34">
        <v>5.0</v>
      </c>
      <c r="C382" s="35">
        <v>3980.0</v>
      </c>
      <c r="D382" s="35">
        <v>3727.0</v>
      </c>
    </row>
    <row r="383" ht="12.75" customHeight="1">
      <c r="A383" s="32" t="s">
        <v>83</v>
      </c>
      <c r="B383" s="34">
        <v>6.0</v>
      </c>
      <c r="C383" s="35">
        <v>4460.0</v>
      </c>
      <c r="D383" s="35">
        <v>4030.0</v>
      </c>
    </row>
    <row r="384" ht="12.75" customHeight="1">
      <c r="A384" s="32" t="s">
        <v>83</v>
      </c>
      <c r="B384" s="34">
        <v>7.0</v>
      </c>
      <c r="C384" s="35">
        <v>4571.0</v>
      </c>
      <c r="D384" s="35">
        <v>4171.0</v>
      </c>
    </row>
    <row r="385" ht="12.75" customHeight="1">
      <c r="A385" s="32" t="s">
        <v>83</v>
      </c>
      <c r="B385" s="34">
        <v>8.0</v>
      </c>
      <c r="C385" s="35">
        <v>4492.0</v>
      </c>
      <c r="D385" s="35">
        <v>4345.0</v>
      </c>
    </row>
    <row r="386" ht="12.75" customHeight="1">
      <c r="A386" s="32" t="s">
        <v>83</v>
      </c>
      <c r="B386" s="34">
        <v>9.0</v>
      </c>
      <c r="C386" s="35">
        <v>4427.0</v>
      </c>
      <c r="D386" s="35">
        <v>4299.0</v>
      </c>
    </row>
    <row r="387" ht="12.75" customHeight="1">
      <c r="A387" s="32" t="s">
        <v>83</v>
      </c>
      <c r="B387" s="34">
        <v>10.0</v>
      </c>
      <c r="C387" s="35">
        <v>4577.0</v>
      </c>
      <c r="D387" s="35">
        <v>4391.0</v>
      </c>
    </row>
    <row r="388" ht="12.75" customHeight="1">
      <c r="A388" s="32" t="s">
        <v>83</v>
      </c>
      <c r="B388" s="34">
        <v>11.0</v>
      </c>
      <c r="C388" s="35">
        <v>4441.0</v>
      </c>
      <c r="D388" s="35">
        <v>4126.0</v>
      </c>
    </row>
    <row r="389" ht="12.75" customHeight="1">
      <c r="A389" s="32" t="s">
        <v>83</v>
      </c>
      <c r="B389" s="34">
        <v>12.0</v>
      </c>
      <c r="C389" s="35">
        <v>4480.0</v>
      </c>
      <c r="D389" s="35">
        <v>4164.0</v>
      </c>
    </row>
    <row r="390" ht="12.75" customHeight="1">
      <c r="A390" s="32" t="s">
        <v>83</v>
      </c>
      <c r="B390" s="34">
        <v>13.0</v>
      </c>
      <c r="C390" s="35">
        <v>4207.0</v>
      </c>
      <c r="D390" s="35">
        <v>3982.0</v>
      </c>
    </row>
    <row r="391" ht="12.75" customHeight="1">
      <c r="A391" s="32" t="s">
        <v>83</v>
      </c>
      <c r="B391" s="34">
        <v>14.0</v>
      </c>
      <c r="C391" s="35">
        <v>4242.0</v>
      </c>
      <c r="D391" s="35">
        <v>3969.0</v>
      </c>
    </row>
    <row r="392" ht="12.75" customHeight="1">
      <c r="A392" s="32" t="s">
        <v>86</v>
      </c>
      <c r="B392" s="34" t="s">
        <v>395</v>
      </c>
      <c r="C392" s="35">
        <v>2204.0</v>
      </c>
      <c r="D392" s="35">
        <v>2056.0</v>
      </c>
    </row>
    <row r="393" ht="12.75" customHeight="1">
      <c r="A393" s="32" t="s">
        <v>86</v>
      </c>
      <c r="B393" s="34">
        <v>1.0</v>
      </c>
      <c r="C393" s="35">
        <v>2321.0</v>
      </c>
      <c r="D393" s="35">
        <v>2270.0</v>
      </c>
    </row>
    <row r="394" ht="12.75" customHeight="1">
      <c r="A394" s="32" t="s">
        <v>86</v>
      </c>
      <c r="B394" s="34">
        <v>2.0</v>
      </c>
      <c r="C394" s="35">
        <v>2494.0</v>
      </c>
      <c r="D394" s="35">
        <v>2343.0</v>
      </c>
    </row>
    <row r="395" ht="12.75" customHeight="1">
      <c r="A395" s="32" t="s">
        <v>86</v>
      </c>
      <c r="B395" s="34">
        <v>3.0</v>
      </c>
      <c r="C395" s="35">
        <v>2737.0</v>
      </c>
      <c r="D395" s="35">
        <v>2461.0</v>
      </c>
    </row>
    <row r="396" ht="12.75" customHeight="1">
      <c r="A396" s="32" t="s">
        <v>86</v>
      </c>
      <c r="B396" s="34">
        <v>4.0</v>
      </c>
      <c r="C396" s="35">
        <v>3043.0</v>
      </c>
      <c r="D396" s="35">
        <v>2803.0</v>
      </c>
    </row>
    <row r="397" ht="12.75" customHeight="1">
      <c r="A397" s="32" t="s">
        <v>86</v>
      </c>
      <c r="B397" s="34">
        <v>5.0</v>
      </c>
      <c r="C397" s="35">
        <v>3364.0</v>
      </c>
      <c r="D397" s="35">
        <v>3021.0</v>
      </c>
    </row>
    <row r="398" ht="12.75" customHeight="1">
      <c r="A398" s="32" t="s">
        <v>86</v>
      </c>
      <c r="B398" s="34">
        <v>6.0</v>
      </c>
      <c r="C398" s="35">
        <v>3681.0</v>
      </c>
      <c r="D398" s="35">
        <v>3443.0</v>
      </c>
    </row>
    <row r="399" ht="12.75" customHeight="1">
      <c r="A399" s="32" t="s">
        <v>86</v>
      </c>
      <c r="B399" s="34">
        <v>7.0</v>
      </c>
      <c r="C399" s="35">
        <v>3841.0</v>
      </c>
      <c r="D399" s="35">
        <v>3576.0</v>
      </c>
    </row>
    <row r="400" ht="12.75" customHeight="1">
      <c r="A400" s="32" t="s">
        <v>86</v>
      </c>
      <c r="B400" s="34">
        <v>8.0</v>
      </c>
      <c r="C400" s="35">
        <v>3801.0</v>
      </c>
      <c r="D400" s="35">
        <v>3584.0</v>
      </c>
    </row>
    <row r="401" ht="12.75" customHeight="1">
      <c r="A401" s="32" t="s">
        <v>86</v>
      </c>
      <c r="B401" s="34">
        <v>9.0</v>
      </c>
      <c r="C401" s="35">
        <v>3737.0</v>
      </c>
      <c r="D401" s="35">
        <v>3536.0</v>
      </c>
    </row>
    <row r="402" ht="12.75" customHeight="1">
      <c r="A402" s="32" t="s">
        <v>86</v>
      </c>
      <c r="B402" s="34">
        <v>10.0</v>
      </c>
      <c r="C402" s="35">
        <v>3797.0</v>
      </c>
      <c r="D402" s="35">
        <v>3674.0</v>
      </c>
    </row>
    <row r="403" ht="12.75" customHeight="1">
      <c r="A403" s="32" t="s">
        <v>86</v>
      </c>
      <c r="B403" s="34">
        <v>11.0</v>
      </c>
      <c r="C403" s="35">
        <v>3668.0</v>
      </c>
      <c r="D403" s="35">
        <v>3377.0</v>
      </c>
    </row>
    <row r="404" ht="12.75" customHeight="1">
      <c r="A404" s="32" t="s">
        <v>86</v>
      </c>
      <c r="B404" s="34">
        <v>12.0</v>
      </c>
      <c r="C404" s="35">
        <v>3560.0</v>
      </c>
      <c r="D404" s="35">
        <v>3401.0</v>
      </c>
    </row>
    <row r="405" ht="12.75" customHeight="1">
      <c r="A405" s="32" t="s">
        <v>86</v>
      </c>
      <c r="B405" s="34">
        <v>13.0</v>
      </c>
      <c r="C405" s="35">
        <v>3564.0</v>
      </c>
      <c r="D405" s="35">
        <v>3222.0</v>
      </c>
    </row>
    <row r="406" ht="12.75" customHeight="1">
      <c r="A406" s="32" t="s">
        <v>86</v>
      </c>
      <c r="B406" s="34">
        <v>14.0</v>
      </c>
      <c r="C406" s="35">
        <v>3535.0</v>
      </c>
      <c r="D406" s="35">
        <v>3224.0</v>
      </c>
    </row>
    <row r="407" ht="12.75" customHeight="1">
      <c r="A407" s="32" t="s">
        <v>89</v>
      </c>
      <c r="B407" s="34" t="s">
        <v>395</v>
      </c>
      <c r="C407" s="35">
        <v>2189.0</v>
      </c>
      <c r="D407" s="35">
        <v>2121.0</v>
      </c>
    </row>
    <row r="408" ht="12.75" customHeight="1">
      <c r="A408" s="32" t="s">
        <v>89</v>
      </c>
      <c r="B408" s="34">
        <v>1.0</v>
      </c>
      <c r="C408" s="35">
        <v>2629.0</v>
      </c>
      <c r="D408" s="35">
        <v>2392.0</v>
      </c>
    </row>
    <row r="409" ht="12.75" customHeight="1">
      <c r="A409" s="32" t="s">
        <v>89</v>
      </c>
      <c r="B409" s="34">
        <v>2.0</v>
      </c>
      <c r="C409" s="35">
        <v>2445.0</v>
      </c>
      <c r="D409" s="35">
        <v>2289.0</v>
      </c>
    </row>
    <row r="410" ht="12.75" customHeight="1">
      <c r="A410" s="32" t="s">
        <v>89</v>
      </c>
      <c r="B410" s="34">
        <v>3.0</v>
      </c>
      <c r="C410" s="35">
        <v>2614.0</v>
      </c>
      <c r="D410" s="35">
        <v>2554.0</v>
      </c>
    </row>
    <row r="411" ht="12.75" customHeight="1">
      <c r="A411" s="32" t="s">
        <v>89</v>
      </c>
      <c r="B411" s="34">
        <v>4.0</v>
      </c>
      <c r="C411" s="35">
        <v>2939.0</v>
      </c>
      <c r="D411" s="35">
        <v>2817.0</v>
      </c>
    </row>
    <row r="412" ht="12.75" customHeight="1">
      <c r="A412" s="32" t="s">
        <v>89</v>
      </c>
      <c r="B412" s="34">
        <v>5.0</v>
      </c>
      <c r="C412" s="35">
        <v>3070.0</v>
      </c>
      <c r="D412" s="35">
        <v>2845.0</v>
      </c>
    </row>
    <row r="413" ht="12.75" customHeight="1">
      <c r="A413" s="32" t="s">
        <v>89</v>
      </c>
      <c r="B413" s="34">
        <v>6.0</v>
      </c>
      <c r="C413" s="35">
        <v>3500.0</v>
      </c>
      <c r="D413" s="35">
        <v>3323.0</v>
      </c>
    </row>
    <row r="414" ht="12.75" customHeight="1">
      <c r="A414" s="32" t="s">
        <v>89</v>
      </c>
      <c r="B414" s="34">
        <v>7.0</v>
      </c>
      <c r="C414" s="35">
        <v>3551.0</v>
      </c>
      <c r="D414" s="35">
        <v>3436.0</v>
      </c>
    </row>
    <row r="415" ht="12.75" customHeight="1">
      <c r="A415" s="32" t="s">
        <v>89</v>
      </c>
      <c r="B415" s="34">
        <v>8.0</v>
      </c>
      <c r="C415" s="35">
        <v>3517.0</v>
      </c>
      <c r="D415" s="35">
        <v>3237.0</v>
      </c>
    </row>
    <row r="416" ht="12.75" customHeight="1">
      <c r="A416" s="32" t="s">
        <v>89</v>
      </c>
      <c r="B416" s="34">
        <v>9.0</v>
      </c>
      <c r="C416" s="35">
        <v>3495.0</v>
      </c>
      <c r="D416" s="35">
        <v>3268.0</v>
      </c>
    </row>
    <row r="417" ht="12.75" customHeight="1">
      <c r="A417" s="32" t="s">
        <v>89</v>
      </c>
      <c r="B417" s="34">
        <v>10.0</v>
      </c>
      <c r="C417" s="35">
        <v>3553.0</v>
      </c>
      <c r="D417" s="35">
        <v>3337.0</v>
      </c>
    </row>
    <row r="418" ht="12.75" customHeight="1">
      <c r="A418" s="32" t="s">
        <v>89</v>
      </c>
      <c r="B418" s="34">
        <v>11.0</v>
      </c>
      <c r="C418" s="35">
        <v>3408.0</v>
      </c>
      <c r="D418" s="35">
        <v>3246.0</v>
      </c>
    </row>
    <row r="419" ht="12.75" customHeight="1">
      <c r="A419" s="32" t="s">
        <v>89</v>
      </c>
      <c r="B419" s="34">
        <v>12.0</v>
      </c>
      <c r="C419" s="35">
        <v>3142.0</v>
      </c>
      <c r="D419" s="35">
        <v>3050.0</v>
      </c>
    </row>
    <row r="420" ht="12.75" customHeight="1">
      <c r="A420" s="32" t="s">
        <v>89</v>
      </c>
      <c r="B420" s="34">
        <v>13.0</v>
      </c>
      <c r="C420" s="35">
        <v>3137.0</v>
      </c>
      <c r="D420" s="35">
        <v>3030.0</v>
      </c>
    </row>
    <row r="421" ht="12.75" customHeight="1">
      <c r="A421" s="32" t="s">
        <v>89</v>
      </c>
      <c r="B421" s="34">
        <v>14.0</v>
      </c>
      <c r="C421" s="35">
        <v>3194.0</v>
      </c>
      <c r="D421" s="35">
        <v>3036.0</v>
      </c>
    </row>
    <row r="422" ht="12.75" customHeight="1">
      <c r="A422" s="32" t="s">
        <v>77</v>
      </c>
      <c r="B422" s="34" t="s">
        <v>395</v>
      </c>
      <c r="C422" s="35">
        <v>25118.0</v>
      </c>
      <c r="D422" s="35">
        <v>23551.0</v>
      </c>
    </row>
    <row r="423" ht="12.75" customHeight="1">
      <c r="A423" s="32" t="s">
        <v>77</v>
      </c>
      <c r="B423" s="34">
        <v>1.0</v>
      </c>
      <c r="C423" s="35">
        <v>25180.0</v>
      </c>
      <c r="D423" s="35">
        <v>24703.0</v>
      </c>
    </row>
    <row r="424" ht="12.75" customHeight="1">
      <c r="A424" s="32" t="s">
        <v>77</v>
      </c>
      <c r="B424" s="34">
        <v>2.0</v>
      </c>
      <c r="C424" s="35">
        <v>24711.0</v>
      </c>
      <c r="D424" s="35">
        <v>23375.0</v>
      </c>
    </row>
    <row r="425" ht="12.75" customHeight="1">
      <c r="A425" s="32" t="s">
        <v>77</v>
      </c>
      <c r="B425" s="34">
        <v>3.0</v>
      </c>
      <c r="C425" s="35">
        <v>25305.0</v>
      </c>
      <c r="D425" s="35">
        <v>24516.0</v>
      </c>
    </row>
    <row r="426" ht="12.75" customHeight="1">
      <c r="A426" s="32" t="s">
        <v>77</v>
      </c>
      <c r="B426" s="34">
        <v>4.0</v>
      </c>
      <c r="C426" s="35">
        <v>27033.0</v>
      </c>
      <c r="D426" s="35">
        <v>25700.0</v>
      </c>
    </row>
    <row r="427" ht="12.75" customHeight="1">
      <c r="A427" s="32" t="s">
        <v>77</v>
      </c>
      <c r="B427" s="34">
        <v>5.0</v>
      </c>
      <c r="C427" s="35">
        <v>28207.0</v>
      </c>
      <c r="D427" s="35">
        <v>27190.0</v>
      </c>
    </row>
    <row r="428" ht="12.75" customHeight="1">
      <c r="A428" s="32" t="s">
        <v>77</v>
      </c>
      <c r="B428" s="34">
        <v>6.0</v>
      </c>
      <c r="C428" s="35">
        <v>31436.0</v>
      </c>
      <c r="D428" s="35">
        <v>29784.0</v>
      </c>
    </row>
    <row r="429" ht="12.75" customHeight="1">
      <c r="A429" s="32" t="s">
        <v>77</v>
      </c>
      <c r="B429" s="34">
        <v>7.0</v>
      </c>
      <c r="C429" s="35">
        <v>32220.0</v>
      </c>
      <c r="D429" s="35">
        <v>30363.0</v>
      </c>
    </row>
    <row r="430" ht="12.75" customHeight="1">
      <c r="A430" s="32" t="s">
        <v>77</v>
      </c>
      <c r="B430" s="34">
        <v>8.0</v>
      </c>
      <c r="C430" s="35">
        <v>30831.0</v>
      </c>
      <c r="D430" s="35">
        <v>28795.0</v>
      </c>
    </row>
    <row r="431" ht="12.75" customHeight="1">
      <c r="A431" s="32" t="s">
        <v>77</v>
      </c>
      <c r="B431" s="34">
        <v>9.0</v>
      </c>
      <c r="C431" s="35">
        <v>29220.0</v>
      </c>
      <c r="D431" s="35">
        <v>27677.0</v>
      </c>
    </row>
    <row r="432" ht="12.75" customHeight="1">
      <c r="A432" s="32" t="s">
        <v>77</v>
      </c>
      <c r="B432" s="34">
        <v>10.0</v>
      </c>
      <c r="C432" s="35">
        <v>29547.0</v>
      </c>
      <c r="D432" s="35">
        <v>28190.0</v>
      </c>
    </row>
    <row r="433" ht="12.75" customHeight="1">
      <c r="A433" s="32" t="s">
        <v>77</v>
      </c>
      <c r="B433" s="34">
        <v>11.0</v>
      </c>
      <c r="C433" s="35">
        <v>27565.0</v>
      </c>
      <c r="D433" s="35">
        <v>26246.0</v>
      </c>
    </row>
    <row r="434" ht="12.75" customHeight="1">
      <c r="A434" s="32" t="s">
        <v>77</v>
      </c>
      <c r="B434" s="34">
        <v>12.0</v>
      </c>
      <c r="C434" s="35">
        <v>26934.0</v>
      </c>
      <c r="D434" s="35">
        <v>25562.0</v>
      </c>
    </row>
    <row r="435" ht="12.75" customHeight="1">
      <c r="A435" s="32" t="s">
        <v>77</v>
      </c>
      <c r="B435" s="34">
        <v>13.0</v>
      </c>
      <c r="C435" s="35">
        <v>25168.0</v>
      </c>
      <c r="D435" s="35">
        <v>24085.0</v>
      </c>
    </row>
    <row r="436" ht="12.75" customHeight="1">
      <c r="A436" s="32" t="s">
        <v>77</v>
      </c>
      <c r="B436" s="34">
        <v>14.0</v>
      </c>
      <c r="C436" s="35">
        <v>23181.0</v>
      </c>
      <c r="D436" s="35">
        <v>21843.0</v>
      </c>
    </row>
    <row r="437" ht="12.75" customHeight="1">
      <c r="A437" s="32" t="s">
        <v>110</v>
      </c>
      <c r="B437" s="34" t="s">
        <v>395</v>
      </c>
      <c r="C437" s="35">
        <v>2365.0</v>
      </c>
      <c r="D437" s="35">
        <v>2279.0</v>
      </c>
    </row>
    <row r="438" ht="12.75" customHeight="1">
      <c r="A438" s="32" t="s">
        <v>110</v>
      </c>
      <c r="B438" s="34">
        <v>1.0</v>
      </c>
      <c r="C438" s="35">
        <v>2757.0</v>
      </c>
      <c r="D438" s="35">
        <v>2755.0</v>
      </c>
    </row>
    <row r="439" ht="12.75" customHeight="1">
      <c r="A439" s="32" t="s">
        <v>110</v>
      </c>
      <c r="B439" s="34">
        <v>2.0</v>
      </c>
      <c r="C439" s="35">
        <v>2725.0</v>
      </c>
      <c r="D439" s="35">
        <v>2732.0</v>
      </c>
    </row>
    <row r="440" ht="12.75" customHeight="1">
      <c r="A440" s="32" t="s">
        <v>110</v>
      </c>
      <c r="B440" s="34">
        <v>3.0</v>
      </c>
      <c r="C440" s="35">
        <v>2662.0</v>
      </c>
      <c r="D440" s="35">
        <v>2485.0</v>
      </c>
    </row>
    <row r="441" ht="12.75" customHeight="1">
      <c r="A441" s="32" t="s">
        <v>110</v>
      </c>
      <c r="B441" s="34">
        <v>4.0</v>
      </c>
      <c r="C441" s="35">
        <v>2857.0</v>
      </c>
      <c r="D441" s="35">
        <v>2724.0</v>
      </c>
    </row>
    <row r="442" ht="12.75" customHeight="1">
      <c r="A442" s="32" t="s">
        <v>110</v>
      </c>
      <c r="B442" s="34">
        <v>5.0</v>
      </c>
      <c r="C442" s="35">
        <v>3035.0</v>
      </c>
      <c r="D442" s="35">
        <v>2916.0</v>
      </c>
    </row>
    <row r="443" ht="12.75" customHeight="1">
      <c r="A443" s="32" t="s">
        <v>110</v>
      </c>
      <c r="B443" s="34">
        <v>6.0</v>
      </c>
      <c r="C443" s="35">
        <v>3361.0</v>
      </c>
      <c r="D443" s="35">
        <v>3166.0</v>
      </c>
    </row>
    <row r="444" ht="12.75" customHeight="1">
      <c r="A444" s="32" t="s">
        <v>110</v>
      </c>
      <c r="B444" s="34">
        <v>7.0</v>
      </c>
      <c r="C444" s="35">
        <v>3616.0</v>
      </c>
      <c r="D444" s="35">
        <v>3484.0</v>
      </c>
    </row>
    <row r="445" ht="12.75" customHeight="1">
      <c r="A445" s="32" t="s">
        <v>110</v>
      </c>
      <c r="B445" s="34">
        <v>8.0</v>
      </c>
      <c r="C445" s="35">
        <v>3546.0</v>
      </c>
      <c r="D445" s="35">
        <v>3213.0</v>
      </c>
    </row>
    <row r="446" ht="12.75" customHeight="1">
      <c r="A446" s="32" t="s">
        <v>110</v>
      </c>
      <c r="B446" s="34">
        <v>9.0</v>
      </c>
      <c r="C446" s="35">
        <v>3393.0</v>
      </c>
      <c r="D446" s="35">
        <v>3153.0</v>
      </c>
    </row>
    <row r="447" ht="12.75" customHeight="1">
      <c r="A447" s="32" t="s">
        <v>110</v>
      </c>
      <c r="B447" s="34">
        <v>10.0</v>
      </c>
      <c r="C447" s="35">
        <v>3366.0</v>
      </c>
      <c r="D447" s="35">
        <v>3307.0</v>
      </c>
    </row>
    <row r="448" ht="12.75" customHeight="1">
      <c r="A448" s="32" t="s">
        <v>110</v>
      </c>
      <c r="B448" s="34">
        <v>11.0</v>
      </c>
      <c r="C448" s="35">
        <v>3307.0</v>
      </c>
      <c r="D448" s="35">
        <v>3132.0</v>
      </c>
    </row>
    <row r="449" ht="12.75" customHeight="1">
      <c r="A449" s="32" t="s">
        <v>110</v>
      </c>
      <c r="B449" s="34">
        <v>12.0</v>
      </c>
      <c r="C449" s="35">
        <v>3574.0</v>
      </c>
      <c r="D449" s="35">
        <v>3409.0</v>
      </c>
    </row>
    <row r="450" ht="12.75" customHeight="1">
      <c r="A450" s="32" t="s">
        <v>110</v>
      </c>
      <c r="B450" s="34">
        <v>13.0</v>
      </c>
      <c r="C450" s="35">
        <v>3376.0</v>
      </c>
      <c r="D450" s="35">
        <v>3188.0</v>
      </c>
    </row>
    <row r="451" ht="12.75" customHeight="1">
      <c r="A451" s="32" t="s">
        <v>110</v>
      </c>
      <c r="B451" s="34">
        <v>14.0</v>
      </c>
      <c r="C451" s="35">
        <v>3372.0</v>
      </c>
      <c r="D451" s="35">
        <v>3199.0</v>
      </c>
    </row>
    <row r="452" ht="12.75" customHeight="1">
      <c r="A452" s="32" t="s">
        <v>113</v>
      </c>
      <c r="B452" s="34" t="s">
        <v>395</v>
      </c>
      <c r="C452" s="35">
        <v>1235.0</v>
      </c>
      <c r="D452" s="35">
        <v>1169.0</v>
      </c>
    </row>
    <row r="453" ht="12.75" customHeight="1">
      <c r="A453" s="32" t="s">
        <v>113</v>
      </c>
      <c r="B453" s="34">
        <v>1.0</v>
      </c>
      <c r="C453" s="35">
        <v>1422.0</v>
      </c>
      <c r="D453" s="35">
        <v>1274.0</v>
      </c>
    </row>
    <row r="454" ht="12.75" customHeight="1">
      <c r="A454" s="32" t="s">
        <v>113</v>
      </c>
      <c r="B454" s="34">
        <v>2.0</v>
      </c>
      <c r="C454" s="35">
        <v>1513.0</v>
      </c>
      <c r="D454" s="35">
        <v>1403.0</v>
      </c>
    </row>
    <row r="455" ht="12.75" customHeight="1">
      <c r="A455" s="32" t="s">
        <v>113</v>
      </c>
      <c r="B455" s="34">
        <v>3.0</v>
      </c>
      <c r="C455" s="35">
        <v>1516.0</v>
      </c>
      <c r="D455" s="35">
        <v>1473.0</v>
      </c>
    </row>
    <row r="456" ht="12.75" customHeight="1">
      <c r="A456" s="32" t="s">
        <v>113</v>
      </c>
      <c r="B456" s="34">
        <v>4.0</v>
      </c>
      <c r="C456" s="35">
        <v>1684.0</v>
      </c>
      <c r="D456" s="35">
        <v>1576.0</v>
      </c>
    </row>
    <row r="457" ht="12.75" customHeight="1">
      <c r="A457" s="32" t="s">
        <v>113</v>
      </c>
      <c r="B457" s="34">
        <v>5.0</v>
      </c>
      <c r="C457" s="35">
        <v>1693.0</v>
      </c>
      <c r="D457" s="35">
        <v>1549.0</v>
      </c>
    </row>
    <row r="458" ht="12.75" customHeight="1">
      <c r="A458" s="32" t="s">
        <v>113</v>
      </c>
      <c r="B458" s="34">
        <v>6.0</v>
      </c>
      <c r="C458" s="35">
        <v>1878.0</v>
      </c>
      <c r="D458" s="35">
        <v>1699.0</v>
      </c>
    </row>
    <row r="459" ht="12.75" customHeight="1">
      <c r="A459" s="32" t="s">
        <v>113</v>
      </c>
      <c r="B459" s="34">
        <v>7.0</v>
      </c>
      <c r="C459" s="35">
        <v>2000.0</v>
      </c>
      <c r="D459" s="35">
        <v>1810.0</v>
      </c>
    </row>
    <row r="460" ht="12.75" customHeight="1">
      <c r="A460" s="32" t="s">
        <v>113</v>
      </c>
      <c r="B460" s="34">
        <v>8.0</v>
      </c>
      <c r="C460" s="35">
        <v>2024.0</v>
      </c>
      <c r="D460" s="35">
        <v>1928.0</v>
      </c>
    </row>
    <row r="461" ht="12.75" customHeight="1">
      <c r="A461" s="32" t="s">
        <v>113</v>
      </c>
      <c r="B461" s="34">
        <v>9.0</v>
      </c>
      <c r="C461" s="35">
        <v>2019.0</v>
      </c>
      <c r="D461" s="35">
        <v>1976.0</v>
      </c>
    </row>
    <row r="462" ht="12.75" customHeight="1">
      <c r="A462" s="32" t="s">
        <v>113</v>
      </c>
      <c r="B462" s="34">
        <v>10.0</v>
      </c>
      <c r="C462" s="35">
        <v>2093.0</v>
      </c>
      <c r="D462" s="35">
        <v>1996.0</v>
      </c>
    </row>
    <row r="463" ht="12.75" customHeight="1">
      <c r="A463" s="32" t="s">
        <v>113</v>
      </c>
      <c r="B463" s="34">
        <v>11.0</v>
      </c>
      <c r="C463" s="35">
        <v>2005.0</v>
      </c>
      <c r="D463" s="35">
        <v>1928.0</v>
      </c>
    </row>
    <row r="464" ht="12.75" customHeight="1">
      <c r="A464" s="32" t="s">
        <v>113</v>
      </c>
      <c r="B464" s="34">
        <v>12.0</v>
      </c>
      <c r="C464" s="35">
        <v>2058.0</v>
      </c>
      <c r="D464" s="35">
        <v>2066.0</v>
      </c>
    </row>
    <row r="465" ht="12.75" customHeight="1">
      <c r="A465" s="32" t="s">
        <v>113</v>
      </c>
      <c r="B465" s="34">
        <v>13.0</v>
      </c>
      <c r="C465" s="35">
        <v>2076.0</v>
      </c>
      <c r="D465" s="35">
        <v>1945.0</v>
      </c>
    </row>
    <row r="466" ht="12.75" customHeight="1">
      <c r="A466" s="32" t="s">
        <v>113</v>
      </c>
      <c r="B466" s="34">
        <v>14.0</v>
      </c>
      <c r="C466" s="35">
        <v>2160.0</v>
      </c>
      <c r="D466" s="35">
        <v>2028.0</v>
      </c>
    </row>
    <row r="467" ht="12.75" customHeight="1">
      <c r="A467" s="32" t="s">
        <v>116</v>
      </c>
      <c r="B467" s="34" t="s">
        <v>395</v>
      </c>
      <c r="C467" s="35">
        <v>8525.0</v>
      </c>
      <c r="D467" s="35">
        <v>7858.0</v>
      </c>
    </row>
    <row r="468" ht="12.75" customHeight="1">
      <c r="A468" s="32" t="s">
        <v>116</v>
      </c>
      <c r="B468" s="34">
        <v>1.0</v>
      </c>
      <c r="C468" s="35">
        <v>9146.0</v>
      </c>
      <c r="D468" s="35">
        <v>8767.0</v>
      </c>
    </row>
    <row r="469" ht="12.75" customHeight="1">
      <c r="A469" s="32" t="s">
        <v>116</v>
      </c>
      <c r="B469" s="34">
        <v>2.0</v>
      </c>
      <c r="C469" s="35">
        <v>9417.0</v>
      </c>
      <c r="D469" s="35">
        <v>9002.0</v>
      </c>
    </row>
    <row r="470" ht="12.75" customHeight="1">
      <c r="A470" s="32" t="s">
        <v>116</v>
      </c>
      <c r="B470" s="34">
        <v>3.0</v>
      </c>
      <c r="C470" s="35">
        <v>9937.0</v>
      </c>
      <c r="D470" s="35">
        <v>9569.0</v>
      </c>
    </row>
    <row r="471" ht="12.75" customHeight="1">
      <c r="A471" s="32" t="s">
        <v>116</v>
      </c>
      <c r="B471" s="34">
        <v>4.0</v>
      </c>
      <c r="C471" s="35">
        <v>10568.0</v>
      </c>
      <c r="D471" s="35">
        <v>10172.0</v>
      </c>
    </row>
    <row r="472" ht="12.75" customHeight="1">
      <c r="A472" s="32" t="s">
        <v>116</v>
      </c>
      <c r="B472" s="34">
        <v>5.0</v>
      </c>
      <c r="C472" s="35">
        <v>10955.0</v>
      </c>
      <c r="D472" s="35">
        <v>10541.0</v>
      </c>
    </row>
    <row r="473" ht="12.75" customHeight="1">
      <c r="A473" s="32" t="s">
        <v>116</v>
      </c>
      <c r="B473" s="34">
        <v>6.0</v>
      </c>
      <c r="C473" s="35">
        <v>12113.0</v>
      </c>
      <c r="D473" s="35">
        <v>11400.0</v>
      </c>
    </row>
    <row r="474" ht="12.75" customHeight="1">
      <c r="A474" s="32" t="s">
        <v>116</v>
      </c>
      <c r="B474" s="34">
        <v>7.0</v>
      </c>
      <c r="C474" s="35">
        <v>12645.0</v>
      </c>
      <c r="D474" s="35">
        <v>12333.0</v>
      </c>
    </row>
    <row r="475" ht="12.75" customHeight="1">
      <c r="A475" s="32" t="s">
        <v>116</v>
      </c>
      <c r="B475" s="34">
        <v>8.0</v>
      </c>
      <c r="C475" s="35">
        <v>12143.0</v>
      </c>
      <c r="D475" s="35">
        <v>12312.0</v>
      </c>
    </row>
    <row r="476" ht="12.75" customHeight="1">
      <c r="A476" s="32" t="s">
        <v>116</v>
      </c>
      <c r="B476" s="34">
        <v>9.0</v>
      </c>
      <c r="C476" s="35">
        <v>12579.0</v>
      </c>
      <c r="D476" s="35">
        <v>12532.0</v>
      </c>
    </row>
    <row r="477" ht="12.75" customHeight="1">
      <c r="A477" s="32" t="s">
        <v>116</v>
      </c>
      <c r="B477" s="34">
        <v>10.0</v>
      </c>
      <c r="C477" s="35">
        <v>13010.0</v>
      </c>
      <c r="D477" s="35">
        <v>12440.0</v>
      </c>
    </row>
    <row r="478" ht="12.75" customHeight="1">
      <c r="A478" s="32" t="s">
        <v>116</v>
      </c>
      <c r="B478" s="34">
        <v>11.0</v>
      </c>
      <c r="C478" s="35">
        <v>12486.0</v>
      </c>
      <c r="D478" s="35">
        <v>12084.0</v>
      </c>
    </row>
    <row r="479" ht="12.75" customHeight="1">
      <c r="A479" s="32" t="s">
        <v>116</v>
      </c>
      <c r="B479" s="34">
        <v>12.0</v>
      </c>
      <c r="C479" s="35">
        <v>12231.0</v>
      </c>
      <c r="D479" s="35">
        <v>12116.0</v>
      </c>
    </row>
    <row r="480" ht="12.75" customHeight="1">
      <c r="A480" s="32" t="s">
        <v>116</v>
      </c>
      <c r="B480" s="34">
        <v>13.0</v>
      </c>
      <c r="C480" s="35">
        <v>12469.0</v>
      </c>
      <c r="D480" s="35">
        <v>12235.0</v>
      </c>
    </row>
    <row r="481" ht="12.75" customHeight="1">
      <c r="A481" s="32" t="s">
        <v>116</v>
      </c>
      <c r="B481" s="34">
        <v>14.0</v>
      </c>
      <c r="C481" s="35">
        <v>12189.0</v>
      </c>
      <c r="D481" s="35">
        <v>12229.0</v>
      </c>
    </row>
    <row r="482" ht="12.75" customHeight="1">
      <c r="A482" s="32" t="s">
        <v>98</v>
      </c>
      <c r="B482" s="34" t="s">
        <v>395</v>
      </c>
      <c r="C482" s="35">
        <v>27411.0</v>
      </c>
      <c r="D482" s="35">
        <v>25974.0</v>
      </c>
    </row>
    <row r="483" ht="12.75" customHeight="1">
      <c r="A483" s="32" t="s">
        <v>98</v>
      </c>
      <c r="B483" s="34">
        <v>1.0</v>
      </c>
      <c r="C483" s="35">
        <v>31082.0</v>
      </c>
      <c r="D483" s="35">
        <v>29210.0</v>
      </c>
    </row>
    <row r="484" ht="12.75" customHeight="1">
      <c r="A484" s="32" t="s">
        <v>98</v>
      </c>
      <c r="B484" s="34">
        <v>2.0</v>
      </c>
      <c r="C484" s="35">
        <v>31375.0</v>
      </c>
      <c r="D484" s="35">
        <v>29832.0</v>
      </c>
    </row>
    <row r="485" ht="12.75" customHeight="1">
      <c r="A485" s="32" t="s">
        <v>98</v>
      </c>
      <c r="B485" s="34">
        <v>3.0</v>
      </c>
      <c r="C485" s="35">
        <v>32555.0</v>
      </c>
      <c r="D485" s="35">
        <v>30695.0</v>
      </c>
    </row>
    <row r="486" ht="12.75" customHeight="1">
      <c r="A486" s="32" t="s">
        <v>98</v>
      </c>
      <c r="B486" s="34">
        <v>4.0</v>
      </c>
      <c r="C486" s="35">
        <v>34685.0</v>
      </c>
      <c r="D486" s="35">
        <v>32152.0</v>
      </c>
    </row>
    <row r="487" ht="12.75" customHeight="1">
      <c r="A487" s="32" t="s">
        <v>98</v>
      </c>
      <c r="B487" s="34">
        <v>5.0</v>
      </c>
      <c r="C487" s="35">
        <v>36137.0</v>
      </c>
      <c r="D487" s="35">
        <v>34253.0</v>
      </c>
    </row>
    <row r="488" ht="12.75" customHeight="1">
      <c r="A488" s="32" t="s">
        <v>98</v>
      </c>
      <c r="B488" s="34">
        <v>6.0</v>
      </c>
      <c r="C488" s="35">
        <v>39613.0</v>
      </c>
      <c r="D488" s="35">
        <v>37470.0</v>
      </c>
    </row>
    <row r="489" ht="12.75" customHeight="1">
      <c r="A489" s="32" t="s">
        <v>98</v>
      </c>
      <c r="B489" s="34">
        <v>7.0</v>
      </c>
      <c r="C489" s="35">
        <v>40716.0</v>
      </c>
      <c r="D489" s="35">
        <v>38518.0</v>
      </c>
    </row>
    <row r="490" ht="12.75" customHeight="1">
      <c r="A490" s="32" t="s">
        <v>98</v>
      </c>
      <c r="B490" s="34">
        <v>8.0</v>
      </c>
      <c r="C490" s="35">
        <v>40873.0</v>
      </c>
      <c r="D490" s="35">
        <v>38603.0</v>
      </c>
    </row>
    <row r="491" ht="12.75" customHeight="1">
      <c r="A491" s="32" t="s">
        <v>98</v>
      </c>
      <c r="B491" s="34">
        <v>9.0</v>
      </c>
      <c r="C491" s="35">
        <v>39575.0</v>
      </c>
      <c r="D491" s="35">
        <v>37387.0</v>
      </c>
    </row>
    <row r="492" ht="12.75" customHeight="1">
      <c r="A492" s="32" t="s">
        <v>98</v>
      </c>
      <c r="B492" s="34">
        <v>10.0</v>
      </c>
      <c r="C492" s="35">
        <v>39745.0</v>
      </c>
      <c r="D492" s="35">
        <v>36805.0</v>
      </c>
    </row>
    <row r="493" ht="12.75" customHeight="1">
      <c r="A493" s="32" t="s">
        <v>98</v>
      </c>
      <c r="B493" s="34">
        <v>11.0</v>
      </c>
      <c r="C493" s="35">
        <v>36816.0</v>
      </c>
      <c r="D493" s="35">
        <v>35007.0</v>
      </c>
    </row>
    <row r="494" ht="12.75" customHeight="1">
      <c r="A494" s="32" t="s">
        <v>98</v>
      </c>
      <c r="B494" s="34">
        <v>12.0</v>
      </c>
      <c r="C494" s="35">
        <v>34890.0</v>
      </c>
      <c r="D494" s="35">
        <v>33744.0</v>
      </c>
    </row>
    <row r="495" ht="12.75" customHeight="1">
      <c r="A495" s="32" t="s">
        <v>98</v>
      </c>
      <c r="B495" s="34">
        <v>13.0</v>
      </c>
      <c r="C495" s="35">
        <v>34657.0</v>
      </c>
      <c r="D495" s="35">
        <v>33195.0</v>
      </c>
    </row>
    <row r="496" ht="12.75" customHeight="1">
      <c r="A496" s="32" t="s">
        <v>98</v>
      </c>
      <c r="B496" s="34">
        <v>14.0</v>
      </c>
      <c r="C496" s="35">
        <v>35594.0</v>
      </c>
      <c r="D496" s="35">
        <v>33233.0</v>
      </c>
    </row>
    <row r="497" ht="12.75" customHeight="1">
      <c r="A497" s="32" t="s">
        <v>101</v>
      </c>
      <c r="B497" s="34" t="s">
        <v>395</v>
      </c>
      <c r="C497" s="35">
        <v>4851.0</v>
      </c>
      <c r="D497" s="35">
        <v>4742.0</v>
      </c>
    </row>
    <row r="498" ht="12.75" customHeight="1">
      <c r="A498" s="32" t="s">
        <v>101</v>
      </c>
      <c r="B498" s="34">
        <v>1.0</v>
      </c>
      <c r="C498" s="35">
        <v>5472.0</v>
      </c>
      <c r="D498" s="35">
        <v>5106.0</v>
      </c>
    </row>
    <row r="499" ht="12.75" customHeight="1">
      <c r="A499" s="32" t="s">
        <v>101</v>
      </c>
      <c r="B499" s="34">
        <v>2.0</v>
      </c>
      <c r="C499" s="35">
        <v>5662.0</v>
      </c>
      <c r="D499" s="35">
        <v>5119.0</v>
      </c>
    </row>
    <row r="500" ht="12.75" customHeight="1">
      <c r="A500" s="32" t="s">
        <v>101</v>
      </c>
      <c r="B500" s="34">
        <v>3.0</v>
      </c>
      <c r="C500" s="35">
        <v>5541.0</v>
      </c>
      <c r="D500" s="35">
        <v>5208.0</v>
      </c>
    </row>
    <row r="501" ht="12.75" customHeight="1">
      <c r="A501" s="32" t="s">
        <v>101</v>
      </c>
      <c r="B501" s="34">
        <v>4.0</v>
      </c>
      <c r="C501" s="35">
        <v>5978.0</v>
      </c>
      <c r="D501" s="35">
        <v>5530.0</v>
      </c>
    </row>
    <row r="502" ht="12.75" customHeight="1">
      <c r="A502" s="32" t="s">
        <v>101</v>
      </c>
      <c r="B502" s="34">
        <v>5.0</v>
      </c>
      <c r="C502" s="35">
        <v>6269.0</v>
      </c>
      <c r="D502" s="35">
        <v>5760.0</v>
      </c>
    </row>
    <row r="503" ht="12.75" customHeight="1">
      <c r="A503" s="32" t="s">
        <v>101</v>
      </c>
      <c r="B503" s="34">
        <v>6.0</v>
      </c>
      <c r="C503" s="35">
        <v>7211.0</v>
      </c>
      <c r="D503" s="35">
        <v>6824.0</v>
      </c>
    </row>
    <row r="504" ht="12.75" customHeight="1">
      <c r="A504" s="32" t="s">
        <v>101</v>
      </c>
      <c r="B504" s="34">
        <v>7.0</v>
      </c>
      <c r="C504" s="35">
        <v>7355.0</v>
      </c>
      <c r="D504" s="35">
        <v>7121.0</v>
      </c>
    </row>
    <row r="505" ht="12.75" customHeight="1">
      <c r="A505" s="32" t="s">
        <v>101</v>
      </c>
      <c r="B505" s="34">
        <v>8.0</v>
      </c>
      <c r="C505" s="35">
        <v>7410.0</v>
      </c>
      <c r="D505" s="35">
        <v>7012.0</v>
      </c>
    </row>
    <row r="506" ht="12.75" customHeight="1">
      <c r="A506" s="32" t="s">
        <v>101</v>
      </c>
      <c r="B506" s="34">
        <v>9.0</v>
      </c>
      <c r="C506" s="35">
        <v>7555.0</v>
      </c>
      <c r="D506" s="35">
        <v>6981.0</v>
      </c>
    </row>
    <row r="507" ht="12.75" customHeight="1">
      <c r="A507" s="32" t="s">
        <v>101</v>
      </c>
      <c r="B507" s="34">
        <v>10.0</v>
      </c>
      <c r="C507" s="35">
        <v>7705.0</v>
      </c>
      <c r="D507" s="35">
        <v>7046.0</v>
      </c>
    </row>
    <row r="508" ht="12.75" customHeight="1">
      <c r="A508" s="32" t="s">
        <v>101</v>
      </c>
      <c r="B508" s="34">
        <v>11.0</v>
      </c>
      <c r="C508" s="35">
        <v>6692.0</v>
      </c>
      <c r="D508" s="35">
        <v>6558.0</v>
      </c>
    </row>
    <row r="509" ht="12.75" customHeight="1">
      <c r="A509" s="32" t="s">
        <v>101</v>
      </c>
      <c r="B509" s="34">
        <v>12.0</v>
      </c>
      <c r="C509" s="35">
        <v>6263.0</v>
      </c>
      <c r="D509" s="35">
        <v>6220.0</v>
      </c>
    </row>
    <row r="510" ht="12.75" customHeight="1">
      <c r="A510" s="32" t="s">
        <v>101</v>
      </c>
      <c r="B510" s="34">
        <v>13.0</v>
      </c>
      <c r="C510" s="35">
        <v>6300.0</v>
      </c>
      <c r="D510" s="35">
        <v>6585.0</v>
      </c>
    </row>
    <row r="511" ht="12.75" customHeight="1">
      <c r="A511" s="32" t="s">
        <v>101</v>
      </c>
      <c r="B511" s="34">
        <v>14.0</v>
      </c>
      <c r="C511" s="35">
        <v>6869.0</v>
      </c>
      <c r="D511" s="35">
        <v>6655.0</v>
      </c>
    </row>
    <row r="512" ht="12.75" customHeight="1">
      <c r="A512" s="32" t="s">
        <v>104</v>
      </c>
      <c r="B512" s="34" t="s">
        <v>395</v>
      </c>
      <c r="C512" s="35">
        <v>8996.0</v>
      </c>
      <c r="D512" s="35">
        <v>8502.0</v>
      </c>
    </row>
    <row r="513" ht="12.75" customHeight="1">
      <c r="A513" s="32" t="s">
        <v>104</v>
      </c>
      <c r="B513" s="34">
        <v>1.0</v>
      </c>
      <c r="C513" s="35">
        <v>10073.0</v>
      </c>
      <c r="D513" s="35">
        <v>9293.0</v>
      </c>
    </row>
    <row r="514" ht="12.75" customHeight="1">
      <c r="A514" s="32" t="s">
        <v>104</v>
      </c>
      <c r="B514" s="34">
        <v>2.0</v>
      </c>
      <c r="C514" s="35">
        <v>10058.0</v>
      </c>
      <c r="D514" s="35">
        <v>9463.0</v>
      </c>
    </row>
    <row r="515" ht="12.75" customHeight="1">
      <c r="A515" s="32" t="s">
        <v>104</v>
      </c>
      <c r="B515" s="34">
        <v>3.0</v>
      </c>
      <c r="C515" s="35">
        <v>10685.0</v>
      </c>
      <c r="D515" s="35">
        <v>10169.0</v>
      </c>
    </row>
    <row r="516" ht="12.75" customHeight="1">
      <c r="A516" s="32" t="s">
        <v>104</v>
      </c>
      <c r="B516" s="34">
        <v>4.0</v>
      </c>
      <c r="C516" s="35">
        <v>12075.0</v>
      </c>
      <c r="D516" s="35">
        <v>11288.0</v>
      </c>
    </row>
    <row r="517" ht="12.75" customHeight="1">
      <c r="A517" s="32" t="s">
        <v>104</v>
      </c>
      <c r="B517" s="34">
        <v>5.0</v>
      </c>
      <c r="C517" s="35">
        <v>12670.0</v>
      </c>
      <c r="D517" s="35">
        <v>12015.0</v>
      </c>
    </row>
    <row r="518" ht="12.75" customHeight="1">
      <c r="A518" s="32" t="s">
        <v>104</v>
      </c>
      <c r="B518" s="34">
        <v>6.0</v>
      </c>
      <c r="C518" s="35">
        <v>14163.0</v>
      </c>
      <c r="D518" s="35">
        <v>13657.0</v>
      </c>
    </row>
    <row r="519" ht="12.75" customHeight="1">
      <c r="A519" s="32" t="s">
        <v>104</v>
      </c>
      <c r="B519" s="34">
        <v>7.0</v>
      </c>
      <c r="C519" s="35">
        <v>14782.0</v>
      </c>
      <c r="D519" s="35">
        <v>13735.0</v>
      </c>
    </row>
    <row r="520" ht="12.75" customHeight="1">
      <c r="A520" s="32" t="s">
        <v>104</v>
      </c>
      <c r="B520" s="34">
        <v>8.0</v>
      </c>
      <c r="C520" s="35">
        <v>14616.0</v>
      </c>
      <c r="D520" s="35">
        <v>14053.0</v>
      </c>
    </row>
    <row r="521" ht="12.75" customHeight="1">
      <c r="A521" s="32" t="s">
        <v>104</v>
      </c>
      <c r="B521" s="34">
        <v>9.0</v>
      </c>
      <c r="C521" s="35">
        <v>14566.0</v>
      </c>
      <c r="D521" s="35">
        <v>13951.0</v>
      </c>
    </row>
    <row r="522" ht="12.75" customHeight="1">
      <c r="A522" s="32" t="s">
        <v>104</v>
      </c>
      <c r="B522" s="34">
        <v>10.0</v>
      </c>
      <c r="C522" s="35">
        <v>14969.0</v>
      </c>
      <c r="D522" s="35">
        <v>14115.0</v>
      </c>
    </row>
    <row r="523" ht="12.75" customHeight="1">
      <c r="A523" s="32" t="s">
        <v>104</v>
      </c>
      <c r="B523" s="34">
        <v>11.0</v>
      </c>
      <c r="C523" s="35">
        <v>14234.0</v>
      </c>
      <c r="D523" s="35">
        <v>13538.0</v>
      </c>
    </row>
    <row r="524" ht="12.75" customHeight="1">
      <c r="A524" s="32" t="s">
        <v>104</v>
      </c>
      <c r="B524" s="34">
        <v>12.0</v>
      </c>
      <c r="C524" s="35">
        <v>13166.0</v>
      </c>
      <c r="D524" s="35">
        <v>12353.0</v>
      </c>
    </row>
    <row r="525" ht="12.75" customHeight="1">
      <c r="A525" s="32" t="s">
        <v>104</v>
      </c>
      <c r="B525" s="34">
        <v>13.0</v>
      </c>
      <c r="C525" s="35">
        <v>12956.0</v>
      </c>
      <c r="D525" s="35">
        <v>12200.0</v>
      </c>
    </row>
    <row r="526" ht="12.75" customHeight="1">
      <c r="A526" s="32" t="s">
        <v>104</v>
      </c>
      <c r="B526" s="34">
        <v>14.0</v>
      </c>
      <c r="C526" s="35">
        <v>14703.0</v>
      </c>
      <c r="D526" s="35">
        <v>13761.0</v>
      </c>
    </row>
    <row r="527" ht="12.75" customHeight="1">
      <c r="A527" s="32" t="s">
        <v>107</v>
      </c>
      <c r="B527" s="34" t="s">
        <v>395</v>
      </c>
      <c r="C527" s="35">
        <v>16670.0</v>
      </c>
      <c r="D527" s="35">
        <v>15824.0</v>
      </c>
    </row>
    <row r="528" ht="12.75" customHeight="1">
      <c r="A528" s="32" t="s">
        <v>107</v>
      </c>
      <c r="B528" s="34">
        <v>1.0</v>
      </c>
      <c r="C528" s="35">
        <v>18562.0</v>
      </c>
      <c r="D528" s="35">
        <v>17212.0</v>
      </c>
    </row>
    <row r="529" ht="12.75" customHeight="1">
      <c r="A529" s="32" t="s">
        <v>107</v>
      </c>
      <c r="B529" s="34">
        <v>2.0</v>
      </c>
      <c r="C529" s="35">
        <v>18552.0</v>
      </c>
      <c r="D529" s="35">
        <v>18034.0</v>
      </c>
    </row>
    <row r="530" ht="12.75" customHeight="1">
      <c r="A530" s="32" t="s">
        <v>107</v>
      </c>
      <c r="B530" s="34">
        <v>3.0</v>
      </c>
      <c r="C530" s="35">
        <v>19350.0</v>
      </c>
      <c r="D530" s="35">
        <v>18407.0</v>
      </c>
    </row>
    <row r="531" ht="12.75" customHeight="1">
      <c r="A531" s="32" t="s">
        <v>107</v>
      </c>
      <c r="B531" s="34">
        <v>4.0</v>
      </c>
      <c r="C531" s="35">
        <v>21243.0</v>
      </c>
      <c r="D531" s="35">
        <v>19875.0</v>
      </c>
    </row>
    <row r="532" ht="12.75" customHeight="1">
      <c r="A532" s="32" t="s">
        <v>107</v>
      </c>
      <c r="B532" s="34">
        <v>5.0</v>
      </c>
      <c r="C532" s="35">
        <v>22397.0</v>
      </c>
      <c r="D532" s="35">
        <v>21125.0</v>
      </c>
    </row>
    <row r="533" ht="12.75" customHeight="1">
      <c r="A533" s="32" t="s">
        <v>107</v>
      </c>
      <c r="B533" s="34">
        <v>6.0</v>
      </c>
      <c r="C533" s="35">
        <v>25094.0</v>
      </c>
      <c r="D533" s="35">
        <v>24009.0</v>
      </c>
    </row>
    <row r="534" ht="12.75" customHeight="1">
      <c r="A534" s="32" t="s">
        <v>107</v>
      </c>
      <c r="B534" s="34">
        <v>7.0</v>
      </c>
      <c r="C534" s="35">
        <v>26241.0</v>
      </c>
      <c r="D534" s="35">
        <v>25107.0</v>
      </c>
    </row>
    <row r="535" ht="12.75" customHeight="1">
      <c r="A535" s="32" t="s">
        <v>107</v>
      </c>
      <c r="B535" s="34">
        <v>8.0</v>
      </c>
      <c r="C535" s="35">
        <v>26194.0</v>
      </c>
      <c r="D535" s="35">
        <v>25005.0</v>
      </c>
    </row>
    <row r="536" ht="12.75" customHeight="1">
      <c r="A536" s="32" t="s">
        <v>107</v>
      </c>
      <c r="B536" s="34">
        <v>9.0</v>
      </c>
      <c r="C536" s="35">
        <v>25280.0</v>
      </c>
      <c r="D536" s="35">
        <v>23948.0</v>
      </c>
    </row>
    <row r="537" ht="12.75" customHeight="1">
      <c r="A537" s="32" t="s">
        <v>107</v>
      </c>
      <c r="B537" s="34">
        <v>10.0</v>
      </c>
      <c r="C537" s="35">
        <v>25439.0</v>
      </c>
      <c r="D537" s="35">
        <v>24326.0</v>
      </c>
    </row>
    <row r="538" ht="12.75" customHeight="1">
      <c r="A538" s="32" t="s">
        <v>107</v>
      </c>
      <c r="B538" s="34">
        <v>11.0</v>
      </c>
      <c r="C538" s="35">
        <v>23851.0</v>
      </c>
      <c r="D538" s="35">
        <v>22491.0</v>
      </c>
    </row>
    <row r="539" ht="12.75" customHeight="1">
      <c r="A539" s="32" t="s">
        <v>107</v>
      </c>
      <c r="B539" s="34">
        <v>12.0</v>
      </c>
      <c r="C539" s="35">
        <v>24381.0</v>
      </c>
      <c r="D539" s="35">
        <v>22303.0</v>
      </c>
    </row>
    <row r="540" ht="12.75" customHeight="1">
      <c r="A540" s="32" t="s">
        <v>107</v>
      </c>
      <c r="B540" s="34">
        <v>13.0</v>
      </c>
      <c r="C540" s="35">
        <v>22436.0</v>
      </c>
      <c r="D540" s="35">
        <v>21195.0</v>
      </c>
    </row>
    <row r="541" ht="12.75" customHeight="1">
      <c r="A541" s="32" t="s">
        <v>107</v>
      </c>
      <c r="B541" s="34">
        <v>14.0</v>
      </c>
      <c r="C541" s="35">
        <v>23674.0</v>
      </c>
      <c r="D541" s="35">
        <v>21793.0</v>
      </c>
    </row>
    <row r="542" ht="12.75" customHeight="1">
      <c r="A542" s="32" t="s">
        <v>119</v>
      </c>
      <c r="B542" s="34" t="s">
        <v>395</v>
      </c>
      <c r="C542" s="35">
        <v>2109.0</v>
      </c>
      <c r="D542" s="35">
        <v>1975.0</v>
      </c>
    </row>
    <row r="543" ht="12.75" customHeight="1">
      <c r="A543" s="32" t="s">
        <v>119</v>
      </c>
      <c r="B543" s="34">
        <v>1.0</v>
      </c>
      <c r="C543" s="35">
        <v>2400.0</v>
      </c>
      <c r="D543" s="35">
        <v>2225.0</v>
      </c>
    </row>
    <row r="544" ht="12.75" customHeight="1">
      <c r="A544" s="32" t="s">
        <v>119</v>
      </c>
      <c r="B544" s="34">
        <v>2.0</v>
      </c>
      <c r="C544" s="35">
        <v>2573.0</v>
      </c>
      <c r="D544" s="35">
        <v>2351.0</v>
      </c>
    </row>
    <row r="545" ht="12.75" customHeight="1">
      <c r="A545" s="32" t="s">
        <v>119</v>
      </c>
      <c r="B545" s="34">
        <v>3.0</v>
      </c>
      <c r="C545" s="35">
        <v>2659.0</v>
      </c>
      <c r="D545" s="35">
        <v>2573.0</v>
      </c>
    </row>
    <row r="546" ht="12.75" customHeight="1">
      <c r="A546" s="32" t="s">
        <v>119</v>
      </c>
      <c r="B546" s="34">
        <v>4.0</v>
      </c>
      <c r="C546" s="35">
        <v>2845.0</v>
      </c>
      <c r="D546" s="35">
        <v>2664.0</v>
      </c>
    </row>
    <row r="547" ht="12.75" customHeight="1">
      <c r="A547" s="32" t="s">
        <v>119</v>
      </c>
      <c r="B547" s="34">
        <v>5.0</v>
      </c>
      <c r="C547" s="35">
        <v>3110.0</v>
      </c>
      <c r="D547" s="35">
        <v>2924.0</v>
      </c>
    </row>
    <row r="548" ht="12.75" customHeight="1">
      <c r="A548" s="32" t="s">
        <v>119</v>
      </c>
      <c r="B548" s="34">
        <v>6.0</v>
      </c>
      <c r="C548" s="35">
        <v>3425.0</v>
      </c>
      <c r="D548" s="35">
        <v>3265.0</v>
      </c>
    </row>
    <row r="549" ht="12.75" customHeight="1">
      <c r="A549" s="32" t="s">
        <v>119</v>
      </c>
      <c r="B549" s="34">
        <v>7.0</v>
      </c>
      <c r="C549" s="35">
        <v>3765.0</v>
      </c>
      <c r="D549" s="35">
        <v>3582.0</v>
      </c>
    </row>
    <row r="550" ht="12.75" customHeight="1">
      <c r="A550" s="32" t="s">
        <v>119</v>
      </c>
      <c r="B550" s="34">
        <v>8.0</v>
      </c>
      <c r="C550" s="35">
        <v>3440.0</v>
      </c>
      <c r="D550" s="35">
        <v>3101.0</v>
      </c>
    </row>
    <row r="551" ht="12.75" customHeight="1">
      <c r="A551" s="32" t="s">
        <v>119</v>
      </c>
      <c r="B551" s="34">
        <v>9.0</v>
      </c>
      <c r="C551" s="35">
        <v>3442.0</v>
      </c>
      <c r="D551" s="35">
        <v>3186.0</v>
      </c>
    </row>
    <row r="552" ht="12.75" customHeight="1">
      <c r="A552" s="32" t="s">
        <v>119</v>
      </c>
      <c r="B552" s="34">
        <v>10.0</v>
      </c>
      <c r="C552" s="35">
        <v>3459.0</v>
      </c>
      <c r="D552" s="35">
        <v>3272.0</v>
      </c>
    </row>
    <row r="553" ht="12.75" customHeight="1">
      <c r="A553" s="32" t="s">
        <v>119</v>
      </c>
      <c r="B553" s="34">
        <v>11.0</v>
      </c>
      <c r="C553" s="35">
        <v>3344.0</v>
      </c>
      <c r="D553" s="35">
        <v>3077.0</v>
      </c>
    </row>
    <row r="554" ht="12.75" customHeight="1">
      <c r="A554" s="32" t="s">
        <v>119</v>
      </c>
      <c r="B554" s="34">
        <v>12.0</v>
      </c>
      <c r="C554" s="35">
        <v>2966.0</v>
      </c>
      <c r="D554" s="35">
        <v>2803.0</v>
      </c>
    </row>
    <row r="555" ht="12.75" customHeight="1">
      <c r="A555" s="32" t="s">
        <v>119</v>
      </c>
      <c r="B555" s="34">
        <v>13.0</v>
      </c>
      <c r="C555" s="35">
        <v>2779.0</v>
      </c>
      <c r="D555" s="35">
        <v>2858.0</v>
      </c>
    </row>
    <row r="556" ht="12.75" customHeight="1">
      <c r="A556" s="32" t="s">
        <v>119</v>
      </c>
      <c r="B556" s="34">
        <v>14.0</v>
      </c>
      <c r="C556" s="35">
        <v>3139.0</v>
      </c>
      <c r="D556" s="35">
        <v>2963.0</v>
      </c>
    </row>
    <row r="557" ht="12.75" customHeight="1">
      <c r="A557" s="32" t="s">
        <v>128</v>
      </c>
      <c r="B557" s="34" t="s">
        <v>395</v>
      </c>
      <c r="C557" s="35">
        <v>21394.0</v>
      </c>
      <c r="D557" s="35">
        <v>20877.0</v>
      </c>
    </row>
    <row r="558" ht="12.75" customHeight="1">
      <c r="A558" s="32" t="s">
        <v>128</v>
      </c>
      <c r="B558" s="34">
        <v>1.0</v>
      </c>
      <c r="C558" s="35">
        <v>22241.0</v>
      </c>
      <c r="D558" s="35">
        <v>20860.0</v>
      </c>
    </row>
    <row r="559" ht="12.75" customHeight="1">
      <c r="A559" s="32" t="s">
        <v>128</v>
      </c>
      <c r="B559" s="34">
        <v>2.0</v>
      </c>
      <c r="C559" s="35">
        <v>23981.0</v>
      </c>
      <c r="D559" s="35">
        <v>22355.0</v>
      </c>
    </row>
    <row r="560" ht="12.75" customHeight="1">
      <c r="A560" s="32" t="s">
        <v>128</v>
      </c>
      <c r="B560" s="34">
        <v>3.0</v>
      </c>
      <c r="C560" s="35">
        <v>24387.0</v>
      </c>
      <c r="D560" s="35">
        <v>22369.0</v>
      </c>
    </row>
    <row r="561" ht="12.75" customHeight="1">
      <c r="A561" s="32" t="s">
        <v>128</v>
      </c>
      <c r="B561" s="34">
        <v>4.0</v>
      </c>
      <c r="C561" s="35">
        <v>25332.0</v>
      </c>
      <c r="D561" s="35">
        <v>24125.0</v>
      </c>
    </row>
    <row r="562" ht="12.75" customHeight="1">
      <c r="A562" s="32" t="s">
        <v>128</v>
      </c>
      <c r="B562" s="34">
        <v>5.0</v>
      </c>
      <c r="C562" s="35">
        <v>26130.0</v>
      </c>
      <c r="D562" s="35">
        <v>24209.0</v>
      </c>
    </row>
    <row r="563" ht="12.75" customHeight="1">
      <c r="A563" s="32" t="s">
        <v>128</v>
      </c>
      <c r="B563" s="34">
        <v>6.0</v>
      </c>
      <c r="C563" s="35">
        <v>26821.0</v>
      </c>
      <c r="D563" s="35">
        <v>25013.0</v>
      </c>
    </row>
    <row r="564" ht="12.75" customHeight="1">
      <c r="A564" s="32" t="s">
        <v>128</v>
      </c>
      <c r="B564" s="34">
        <v>7.0</v>
      </c>
      <c r="C564" s="35">
        <v>27788.0</v>
      </c>
      <c r="D564" s="35">
        <v>25254.0</v>
      </c>
    </row>
    <row r="565" ht="12.75" customHeight="1">
      <c r="A565" s="32" t="s">
        <v>128</v>
      </c>
      <c r="B565" s="34">
        <v>8.0</v>
      </c>
      <c r="C565" s="35">
        <v>29107.0</v>
      </c>
      <c r="D565" s="35">
        <v>26819.0</v>
      </c>
    </row>
    <row r="566" ht="12.75" customHeight="1">
      <c r="A566" s="32" t="s">
        <v>128</v>
      </c>
      <c r="B566" s="34">
        <v>9.0</v>
      </c>
      <c r="C566" s="35">
        <v>28018.0</v>
      </c>
      <c r="D566" s="35">
        <v>26453.0</v>
      </c>
    </row>
    <row r="567" ht="12.75" customHeight="1">
      <c r="A567" s="32" t="s">
        <v>128</v>
      </c>
      <c r="B567" s="34">
        <v>10.0</v>
      </c>
      <c r="C567" s="35">
        <v>28127.0</v>
      </c>
      <c r="D567" s="35">
        <v>26295.0</v>
      </c>
    </row>
    <row r="568" ht="12.75" customHeight="1">
      <c r="A568" s="32" t="s">
        <v>128</v>
      </c>
      <c r="B568" s="34">
        <v>11.0</v>
      </c>
      <c r="C568" s="35">
        <v>27491.0</v>
      </c>
      <c r="D568" s="35">
        <v>26031.0</v>
      </c>
    </row>
    <row r="569" ht="12.75" customHeight="1">
      <c r="A569" s="32" t="s">
        <v>128</v>
      </c>
      <c r="B569" s="34">
        <v>12.0</v>
      </c>
      <c r="C569" s="35">
        <v>28016.0</v>
      </c>
      <c r="D569" s="35">
        <v>24869.0</v>
      </c>
    </row>
    <row r="570" ht="12.75" customHeight="1">
      <c r="A570" s="32" t="s">
        <v>128</v>
      </c>
      <c r="B570" s="34">
        <v>13.0</v>
      </c>
      <c r="C570" s="35">
        <v>26945.0</v>
      </c>
      <c r="D570" s="35">
        <v>24328.0</v>
      </c>
    </row>
    <row r="571" ht="12.75" customHeight="1">
      <c r="A571" s="32" t="s">
        <v>128</v>
      </c>
      <c r="B571" s="34">
        <v>14.0</v>
      </c>
      <c r="C571" s="35">
        <v>27530.0</v>
      </c>
      <c r="D571" s="35">
        <v>25549.0</v>
      </c>
    </row>
    <row r="572" ht="12.75" customHeight="1">
      <c r="A572" s="32" t="s">
        <v>125</v>
      </c>
      <c r="B572" s="34" t="s">
        <v>395</v>
      </c>
      <c r="C572" s="35">
        <v>4062.0</v>
      </c>
      <c r="D572" s="35">
        <v>3795.0</v>
      </c>
    </row>
    <row r="573" ht="12.75" customHeight="1">
      <c r="A573" s="32" t="s">
        <v>125</v>
      </c>
      <c r="B573" s="34">
        <v>1.0</v>
      </c>
      <c r="C573" s="35">
        <v>4343.0</v>
      </c>
      <c r="D573" s="35">
        <v>4105.0</v>
      </c>
    </row>
    <row r="574" ht="12.75" customHeight="1">
      <c r="A574" s="32" t="s">
        <v>125</v>
      </c>
      <c r="B574" s="34">
        <v>2.0</v>
      </c>
      <c r="C574" s="35">
        <v>4320.0</v>
      </c>
      <c r="D574" s="35">
        <v>3963.0</v>
      </c>
    </row>
    <row r="575" ht="12.75" customHeight="1">
      <c r="A575" s="32" t="s">
        <v>125</v>
      </c>
      <c r="B575" s="34">
        <v>3.0</v>
      </c>
      <c r="C575" s="35">
        <v>4208.0</v>
      </c>
      <c r="D575" s="35">
        <v>3968.0</v>
      </c>
    </row>
    <row r="576" ht="12.75" customHeight="1">
      <c r="A576" s="32" t="s">
        <v>125</v>
      </c>
      <c r="B576" s="34">
        <v>4.0</v>
      </c>
      <c r="C576" s="35">
        <v>4089.0</v>
      </c>
      <c r="D576" s="35">
        <v>3886.0</v>
      </c>
    </row>
    <row r="577" ht="12.75" customHeight="1">
      <c r="A577" s="32" t="s">
        <v>125</v>
      </c>
      <c r="B577" s="34">
        <v>5.0</v>
      </c>
      <c r="C577" s="35">
        <v>4014.0</v>
      </c>
      <c r="D577" s="35">
        <v>3793.0</v>
      </c>
    </row>
    <row r="578" ht="12.75" customHeight="1">
      <c r="A578" s="32" t="s">
        <v>125</v>
      </c>
      <c r="B578" s="34">
        <v>6.0</v>
      </c>
      <c r="C578" s="35">
        <v>3998.0</v>
      </c>
      <c r="D578" s="35">
        <v>3694.0</v>
      </c>
    </row>
    <row r="579" ht="12.75" customHeight="1">
      <c r="A579" s="32" t="s">
        <v>125</v>
      </c>
      <c r="B579" s="34">
        <v>7.0</v>
      </c>
      <c r="C579" s="35">
        <v>4486.0</v>
      </c>
      <c r="D579" s="35">
        <v>4152.0</v>
      </c>
    </row>
    <row r="580" ht="12.75" customHeight="1">
      <c r="A580" s="32" t="s">
        <v>125</v>
      </c>
      <c r="B580" s="34">
        <v>8.0</v>
      </c>
      <c r="C580" s="35">
        <v>5066.0</v>
      </c>
      <c r="D580" s="35">
        <v>4659.0</v>
      </c>
    </row>
    <row r="581" ht="12.75" customHeight="1">
      <c r="A581" s="32" t="s">
        <v>125</v>
      </c>
      <c r="B581" s="34">
        <v>9.0</v>
      </c>
      <c r="C581" s="35">
        <v>4858.0</v>
      </c>
      <c r="D581" s="35">
        <v>4501.0</v>
      </c>
    </row>
    <row r="582" ht="12.75" customHeight="1">
      <c r="A582" s="32" t="s">
        <v>125</v>
      </c>
      <c r="B582" s="34">
        <v>10.0</v>
      </c>
      <c r="C582" s="35">
        <v>5061.0</v>
      </c>
      <c r="D582" s="35">
        <v>4505.0</v>
      </c>
    </row>
    <row r="583" ht="12.75" customHeight="1">
      <c r="A583" s="32" t="s">
        <v>125</v>
      </c>
      <c r="B583" s="34">
        <v>11.0</v>
      </c>
      <c r="C583" s="35">
        <v>5586.0</v>
      </c>
      <c r="D583" s="35">
        <v>5755.0</v>
      </c>
    </row>
    <row r="584" ht="12.75" customHeight="1">
      <c r="A584" s="32" t="s">
        <v>125</v>
      </c>
      <c r="B584" s="34">
        <v>12.0</v>
      </c>
      <c r="C584" s="35">
        <v>5068.0</v>
      </c>
      <c r="D584" s="35">
        <v>4837.0</v>
      </c>
    </row>
    <row r="585" ht="12.75" customHeight="1">
      <c r="A585" s="32" t="s">
        <v>125</v>
      </c>
      <c r="B585" s="34">
        <v>13.0</v>
      </c>
      <c r="C585" s="35">
        <v>5260.0</v>
      </c>
      <c r="D585" s="35">
        <v>4961.0</v>
      </c>
    </row>
    <row r="586" ht="12.75" customHeight="1">
      <c r="A586" s="32" t="s">
        <v>125</v>
      </c>
      <c r="B586" s="34">
        <v>14.0</v>
      </c>
      <c r="C586" s="35">
        <v>4942.0</v>
      </c>
      <c r="D586" s="35">
        <v>5281.0</v>
      </c>
    </row>
    <row r="587" ht="12.75" customHeight="1">
      <c r="A587" s="32" t="s">
        <v>131</v>
      </c>
      <c r="B587" s="34" t="s">
        <v>395</v>
      </c>
      <c r="C587" s="35">
        <v>5148.0</v>
      </c>
      <c r="D587" s="35">
        <v>4891.0</v>
      </c>
    </row>
    <row r="588" ht="12.75" customHeight="1">
      <c r="A588" s="32" t="s">
        <v>131</v>
      </c>
      <c r="B588" s="34">
        <v>1.0</v>
      </c>
      <c r="C588" s="35">
        <v>5378.0</v>
      </c>
      <c r="D588" s="35">
        <v>5037.0</v>
      </c>
    </row>
    <row r="589" ht="12.75" customHeight="1">
      <c r="A589" s="32" t="s">
        <v>131</v>
      </c>
      <c r="B589" s="34">
        <v>2.0</v>
      </c>
      <c r="C589" s="35">
        <v>5445.0</v>
      </c>
      <c r="D589" s="35">
        <v>4987.0</v>
      </c>
    </row>
    <row r="590" ht="12.75" customHeight="1">
      <c r="A590" s="32" t="s">
        <v>131</v>
      </c>
      <c r="B590" s="34">
        <v>3.0</v>
      </c>
      <c r="C590" s="35">
        <v>5391.0</v>
      </c>
      <c r="D590" s="35">
        <v>5043.0</v>
      </c>
    </row>
    <row r="591" ht="12.75" customHeight="1">
      <c r="A591" s="32" t="s">
        <v>131</v>
      </c>
      <c r="B591" s="34">
        <v>4.0</v>
      </c>
      <c r="C591" s="35">
        <v>5859.0</v>
      </c>
      <c r="D591" s="35">
        <v>5746.0</v>
      </c>
    </row>
    <row r="592" ht="12.75" customHeight="1">
      <c r="A592" s="32" t="s">
        <v>131</v>
      </c>
      <c r="B592" s="34">
        <v>5.0</v>
      </c>
      <c r="C592" s="35">
        <v>5998.0</v>
      </c>
      <c r="D592" s="35">
        <v>5730.0</v>
      </c>
    </row>
    <row r="593" ht="12.75" customHeight="1">
      <c r="A593" s="32" t="s">
        <v>131</v>
      </c>
      <c r="B593" s="34">
        <v>6.0</v>
      </c>
      <c r="C593" s="35">
        <v>6471.0</v>
      </c>
      <c r="D593" s="35">
        <v>6242.0</v>
      </c>
    </row>
    <row r="594" ht="12.75" customHeight="1">
      <c r="A594" s="32" t="s">
        <v>131</v>
      </c>
      <c r="B594" s="34">
        <v>7.0</v>
      </c>
      <c r="C594" s="35">
        <v>7126.0</v>
      </c>
      <c r="D594" s="35">
        <v>6854.0</v>
      </c>
    </row>
    <row r="595" ht="12.75" customHeight="1">
      <c r="A595" s="32" t="s">
        <v>131</v>
      </c>
      <c r="B595" s="34">
        <v>8.0</v>
      </c>
      <c r="C595" s="35">
        <v>6991.0</v>
      </c>
      <c r="D595" s="35">
        <v>6672.0</v>
      </c>
    </row>
    <row r="596" ht="12.75" customHeight="1">
      <c r="A596" s="32" t="s">
        <v>131</v>
      </c>
      <c r="B596" s="34">
        <v>9.0</v>
      </c>
      <c r="C596" s="35">
        <v>6894.0</v>
      </c>
      <c r="D596" s="35">
        <v>6739.0</v>
      </c>
    </row>
    <row r="597" ht="12.75" customHeight="1">
      <c r="A597" s="32" t="s">
        <v>131</v>
      </c>
      <c r="B597" s="34">
        <v>10.0</v>
      </c>
      <c r="C597" s="35">
        <v>7233.0</v>
      </c>
      <c r="D597" s="35">
        <v>7046.0</v>
      </c>
    </row>
    <row r="598" ht="12.75" customHeight="1">
      <c r="A598" s="32" t="s">
        <v>131</v>
      </c>
      <c r="B598" s="34">
        <v>11.0</v>
      </c>
      <c r="C598" s="35">
        <v>6679.0</v>
      </c>
      <c r="D598" s="35">
        <v>6172.0</v>
      </c>
    </row>
    <row r="599" ht="12.75" customHeight="1">
      <c r="A599" s="32" t="s">
        <v>131</v>
      </c>
      <c r="B599" s="34">
        <v>12.0</v>
      </c>
      <c r="C599" s="35">
        <v>7365.0</v>
      </c>
      <c r="D599" s="35">
        <v>7092.0</v>
      </c>
    </row>
    <row r="600" ht="12.75" customHeight="1">
      <c r="A600" s="32" t="s">
        <v>131</v>
      </c>
      <c r="B600" s="34">
        <v>13.0</v>
      </c>
      <c r="C600" s="35">
        <v>6681.0</v>
      </c>
      <c r="D600" s="35">
        <v>6586.0</v>
      </c>
    </row>
    <row r="601" ht="12.75" customHeight="1">
      <c r="A601" s="32" t="s">
        <v>131</v>
      </c>
      <c r="B601" s="34">
        <v>14.0</v>
      </c>
      <c r="C601" s="35">
        <v>6585.0</v>
      </c>
      <c r="D601" s="35">
        <v>6396.0</v>
      </c>
    </row>
    <row r="602" ht="12.75" customHeight="1">
      <c r="A602" s="32" t="s">
        <v>137</v>
      </c>
      <c r="B602" s="34" t="s">
        <v>395</v>
      </c>
      <c r="C602" s="35">
        <v>2295.0</v>
      </c>
      <c r="D602" s="35">
        <v>2089.0</v>
      </c>
    </row>
    <row r="603" ht="12.75" customHeight="1">
      <c r="A603" s="32" t="s">
        <v>137</v>
      </c>
      <c r="B603" s="34">
        <v>1.0</v>
      </c>
      <c r="C603" s="35">
        <v>2311.0</v>
      </c>
      <c r="D603" s="35">
        <v>2234.0</v>
      </c>
    </row>
    <row r="604" ht="12.75" customHeight="1">
      <c r="A604" s="32" t="s">
        <v>137</v>
      </c>
      <c r="B604" s="34">
        <v>2.0</v>
      </c>
      <c r="C604" s="35">
        <v>2781.0</v>
      </c>
      <c r="D604" s="35">
        <v>2569.0</v>
      </c>
    </row>
    <row r="605" ht="12.75" customHeight="1">
      <c r="A605" s="32" t="s">
        <v>137</v>
      </c>
      <c r="B605" s="34">
        <v>3.0</v>
      </c>
      <c r="C605" s="35">
        <v>2892.0</v>
      </c>
      <c r="D605" s="35">
        <v>2800.0</v>
      </c>
    </row>
    <row r="606" ht="12.75" customHeight="1">
      <c r="A606" s="32" t="s">
        <v>137</v>
      </c>
      <c r="B606" s="34">
        <v>4.0</v>
      </c>
      <c r="C606" s="35">
        <v>2879.0</v>
      </c>
      <c r="D606" s="35">
        <v>2887.0</v>
      </c>
    </row>
    <row r="607" ht="12.75" customHeight="1">
      <c r="A607" s="32" t="s">
        <v>137</v>
      </c>
      <c r="B607" s="34">
        <v>5.0</v>
      </c>
      <c r="C607" s="35">
        <v>3050.0</v>
      </c>
      <c r="D607" s="35">
        <v>2865.0</v>
      </c>
    </row>
    <row r="608" ht="12.75" customHeight="1">
      <c r="A608" s="32" t="s">
        <v>137</v>
      </c>
      <c r="B608" s="34">
        <v>6.0</v>
      </c>
      <c r="C608" s="35">
        <v>3244.0</v>
      </c>
      <c r="D608" s="35">
        <v>3128.0</v>
      </c>
    </row>
    <row r="609" ht="12.75" customHeight="1">
      <c r="A609" s="32" t="s">
        <v>137</v>
      </c>
      <c r="B609" s="34">
        <v>7.0</v>
      </c>
      <c r="C609" s="35">
        <v>3567.0</v>
      </c>
      <c r="D609" s="35">
        <v>3348.0</v>
      </c>
    </row>
    <row r="610" ht="12.75" customHeight="1">
      <c r="A610" s="32" t="s">
        <v>137</v>
      </c>
      <c r="B610" s="34">
        <v>8.0</v>
      </c>
      <c r="C610" s="35">
        <v>3331.0</v>
      </c>
      <c r="D610" s="35">
        <v>3122.0</v>
      </c>
    </row>
    <row r="611" ht="12.75" customHeight="1">
      <c r="A611" s="32" t="s">
        <v>137</v>
      </c>
      <c r="B611" s="34">
        <v>9.0</v>
      </c>
      <c r="C611" s="35">
        <v>3436.0</v>
      </c>
      <c r="D611" s="35">
        <v>3162.0</v>
      </c>
    </row>
    <row r="612" ht="12.75" customHeight="1">
      <c r="A612" s="32" t="s">
        <v>137</v>
      </c>
      <c r="B612" s="34">
        <v>10.0</v>
      </c>
      <c r="C612" s="35">
        <v>3472.0</v>
      </c>
      <c r="D612" s="35">
        <v>3247.0</v>
      </c>
    </row>
    <row r="613" ht="12.75" customHeight="1">
      <c r="A613" s="32" t="s">
        <v>137</v>
      </c>
      <c r="B613" s="34">
        <v>11.0</v>
      </c>
      <c r="C613" s="35">
        <v>3182.0</v>
      </c>
      <c r="D613" s="35">
        <v>2978.0</v>
      </c>
    </row>
    <row r="614" ht="12.75" customHeight="1">
      <c r="A614" s="32" t="s">
        <v>137</v>
      </c>
      <c r="B614" s="34">
        <v>12.0</v>
      </c>
      <c r="C614" s="35">
        <v>3590.0</v>
      </c>
      <c r="D614" s="35">
        <v>3496.0</v>
      </c>
    </row>
    <row r="615" ht="12.75" customHeight="1">
      <c r="A615" s="32" t="s">
        <v>137</v>
      </c>
      <c r="B615" s="34">
        <v>13.0</v>
      </c>
      <c r="C615" s="35">
        <v>3432.0</v>
      </c>
      <c r="D615" s="35">
        <v>3312.0</v>
      </c>
    </row>
    <row r="616" ht="12.75" customHeight="1">
      <c r="A616" s="32" t="s">
        <v>137</v>
      </c>
      <c r="B616" s="34">
        <v>14.0</v>
      </c>
      <c r="C616" s="35">
        <v>3592.0</v>
      </c>
      <c r="D616" s="35">
        <v>3405.0</v>
      </c>
    </row>
    <row r="617" ht="12.75" customHeight="1">
      <c r="A617" s="32" t="s">
        <v>134</v>
      </c>
      <c r="B617" s="34" t="s">
        <v>395</v>
      </c>
      <c r="C617" s="35">
        <v>3853.0</v>
      </c>
      <c r="D617" s="35">
        <v>3596.0</v>
      </c>
    </row>
    <row r="618" ht="12.75" customHeight="1">
      <c r="A618" s="32" t="s">
        <v>134</v>
      </c>
      <c r="B618" s="34">
        <v>1.0</v>
      </c>
      <c r="C618" s="35">
        <v>3576.0</v>
      </c>
      <c r="D618" s="35">
        <v>3323.0</v>
      </c>
    </row>
    <row r="619" ht="12.75" customHeight="1">
      <c r="A619" s="32" t="s">
        <v>134</v>
      </c>
      <c r="B619" s="34">
        <v>2.0</v>
      </c>
      <c r="C619" s="35">
        <v>3648.0</v>
      </c>
      <c r="D619" s="35">
        <v>3479.0</v>
      </c>
    </row>
    <row r="620" ht="12.75" customHeight="1">
      <c r="A620" s="32" t="s">
        <v>134</v>
      </c>
      <c r="B620" s="34">
        <v>3.0</v>
      </c>
      <c r="C620" s="35">
        <v>3845.0</v>
      </c>
      <c r="D620" s="35">
        <v>3561.0</v>
      </c>
    </row>
    <row r="621" ht="12.75" customHeight="1">
      <c r="A621" s="32" t="s">
        <v>134</v>
      </c>
      <c r="B621" s="34">
        <v>4.0</v>
      </c>
      <c r="C621" s="35">
        <v>4138.0</v>
      </c>
      <c r="D621" s="35">
        <v>3796.0</v>
      </c>
    </row>
    <row r="622" ht="12.75" customHeight="1">
      <c r="A622" s="32" t="s">
        <v>134</v>
      </c>
      <c r="B622" s="34">
        <v>5.0</v>
      </c>
      <c r="C622" s="35">
        <v>4081.0</v>
      </c>
      <c r="D622" s="35">
        <v>3704.0</v>
      </c>
    </row>
    <row r="623" ht="12.75" customHeight="1">
      <c r="A623" s="32" t="s">
        <v>134</v>
      </c>
      <c r="B623" s="34">
        <v>6.0</v>
      </c>
      <c r="C623" s="35">
        <v>4399.0</v>
      </c>
      <c r="D623" s="35">
        <v>4171.0</v>
      </c>
    </row>
    <row r="624" ht="12.75" customHeight="1">
      <c r="A624" s="32" t="s">
        <v>134</v>
      </c>
      <c r="B624" s="34">
        <v>7.0</v>
      </c>
      <c r="C624" s="35">
        <v>4790.0</v>
      </c>
      <c r="D624" s="35">
        <v>4578.0</v>
      </c>
    </row>
    <row r="625" ht="12.75" customHeight="1">
      <c r="A625" s="32" t="s">
        <v>134</v>
      </c>
      <c r="B625" s="34">
        <v>8.0</v>
      </c>
      <c r="C625" s="35">
        <v>4813.0</v>
      </c>
      <c r="D625" s="35">
        <v>4525.0</v>
      </c>
    </row>
    <row r="626" ht="12.75" customHeight="1">
      <c r="A626" s="32" t="s">
        <v>134</v>
      </c>
      <c r="B626" s="34">
        <v>9.0</v>
      </c>
      <c r="C626" s="35">
        <v>4847.0</v>
      </c>
      <c r="D626" s="35">
        <v>4600.0</v>
      </c>
    </row>
    <row r="627" ht="12.75" customHeight="1">
      <c r="A627" s="32" t="s">
        <v>134</v>
      </c>
      <c r="B627" s="34">
        <v>10.0</v>
      </c>
      <c r="C627" s="35">
        <v>4921.0</v>
      </c>
      <c r="D627" s="35">
        <v>4826.0</v>
      </c>
    </row>
    <row r="628" ht="12.75" customHeight="1">
      <c r="A628" s="32" t="s">
        <v>134</v>
      </c>
      <c r="B628" s="34">
        <v>11.0</v>
      </c>
      <c r="C628" s="35">
        <v>4646.0</v>
      </c>
      <c r="D628" s="35">
        <v>4555.0</v>
      </c>
    </row>
    <row r="629" ht="12.75" customHeight="1">
      <c r="A629" s="32" t="s">
        <v>134</v>
      </c>
      <c r="B629" s="34">
        <v>12.0</v>
      </c>
      <c r="C629" s="35">
        <v>4820.0</v>
      </c>
      <c r="D629" s="35">
        <v>4432.0</v>
      </c>
    </row>
    <row r="630" ht="12.75" customHeight="1">
      <c r="A630" s="32" t="s">
        <v>134</v>
      </c>
      <c r="B630" s="34">
        <v>13.0</v>
      </c>
      <c r="C630" s="35">
        <v>4436.0</v>
      </c>
      <c r="D630" s="35">
        <v>4207.0</v>
      </c>
    </row>
    <row r="631" ht="12.75" customHeight="1">
      <c r="A631" s="32" t="s">
        <v>134</v>
      </c>
      <c r="B631" s="34">
        <v>14.0</v>
      </c>
      <c r="C631" s="35">
        <v>4456.0</v>
      </c>
      <c r="D631" s="35">
        <v>4329.0</v>
      </c>
    </row>
    <row r="632" ht="12.75" customHeight="1">
      <c r="A632" s="32" t="s">
        <v>140</v>
      </c>
      <c r="B632" s="34" t="s">
        <v>395</v>
      </c>
      <c r="C632" s="35">
        <v>16393.0</v>
      </c>
      <c r="D632" s="35">
        <v>15156.0</v>
      </c>
    </row>
    <row r="633" ht="12.75" customHeight="1">
      <c r="A633" s="32" t="s">
        <v>140</v>
      </c>
      <c r="B633" s="34">
        <v>1.0</v>
      </c>
      <c r="C633" s="35">
        <v>14869.0</v>
      </c>
      <c r="D633" s="35">
        <v>13974.0</v>
      </c>
    </row>
    <row r="634" ht="12.75" customHeight="1">
      <c r="A634" s="32" t="s">
        <v>140</v>
      </c>
      <c r="B634" s="34">
        <v>2.0</v>
      </c>
      <c r="C634" s="35">
        <v>15194.0</v>
      </c>
      <c r="D634" s="35">
        <v>14170.0</v>
      </c>
    </row>
    <row r="635" ht="12.75" customHeight="1">
      <c r="A635" s="32" t="s">
        <v>140</v>
      </c>
      <c r="B635" s="34">
        <v>3.0</v>
      </c>
      <c r="C635" s="35">
        <v>15183.0</v>
      </c>
      <c r="D635" s="35">
        <v>14146.0</v>
      </c>
    </row>
    <row r="636" ht="12.75" customHeight="1">
      <c r="A636" s="32" t="s">
        <v>140</v>
      </c>
      <c r="B636" s="34">
        <v>4.0</v>
      </c>
      <c r="C636" s="35">
        <v>15135.0</v>
      </c>
      <c r="D636" s="35">
        <v>14238.0</v>
      </c>
    </row>
    <row r="637" ht="12.75" customHeight="1">
      <c r="A637" s="32" t="s">
        <v>140</v>
      </c>
      <c r="B637" s="34">
        <v>5.0</v>
      </c>
      <c r="C637" s="35">
        <v>15733.0</v>
      </c>
      <c r="D637" s="35">
        <v>14853.0</v>
      </c>
    </row>
    <row r="638" ht="12.75" customHeight="1">
      <c r="A638" s="32" t="s">
        <v>140</v>
      </c>
      <c r="B638" s="34">
        <v>6.0</v>
      </c>
      <c r="C638" s="35">
        <v>14990.0</v>
      </c>
      <c r="D638" s="35">
        <v>14135.0</v>
      </c>
    </row>
    <row r="639" ht="12.75" customHeight="1">
      <c r="A639" s="32" t="s">
        <v>140</v>
      </c>
      <c r="B639" s="34">
        <v>7.0</v>
      </c>
      <c r="C639" s="35">
        <v>16138.0</v>
      </c>
      <c r="D639" s="35">
        <v>15330.0</v>
      </c>
    </row>
    <row r="640" ht="12.75" customHeight="1">
      <c r="A640" s="32" t="s">
        <v>140</v>
      </c>
      <c r="B640" s="34">
        <v>8.0</v>
      </c>
      <c r="C640" s="35">
        <v>16309.0</v>
      </c>
      <c r="D640" s="35">
        <v>15381.0</v>
      </c>
    </row>
    <row r="641" ht="12.75" customHeight="1">
      <c r="A641" s="32" t="s">
        <v>140</v>
      </c>
      <c r="B641" s="34">
        <v>9.0</v>
      </c>
      <c r="C641" s="35">
        <v>16431.0</v>
      </c>
      <c r="D641" s="35">
        <v>15710.0</v>
      </c>
    </row>
    <row r="642" ht="12.75" customHeight="1">
      <c r="A642" s="32" t="s">
        <v>140</v>
      </c>
      <c r="B642" s="34">
        <v>10.0</v>
      </c>
      <c r="C642" s="35">
        <v>16984.0</v>
      </c>
      <c r="D642" s="35">
        <v>16340.0</v>
      </c>
    </row>
    <row r="643" ht="12.75" customHeight="1">
      <c r="A643" s="32" t="s">
        <v>140</v>
      </c>
      <c r="B643" s="34">
        <v>11.0</v>
      </c>
      <c r="C643" s="35">
        <v>18732.0</v>
      </c>
      <c r="D643" s="35">
        <v>17519.0</v>
      </c>
    </row>
    <row r="644" ht="12.75" customHeight="1">
      <c r="A644" s="32" t="s">
        <v>140</v>
      </c>
      <c r="B644" s="34">
        <v>12.0</v>
      </c>
      <c r="C644" s="35">
        <v>15578.0</v>
      </c>
      <c r="D644" s="35">
        <v>13762.0</v>
      </c>
    </row>
    <row r="645" ht="12.75" customHeight="1">
      <c r="A645" s="32" t="s">
        <v>140</v>
      </c>
      <c r="B645" s="34">
        <v>13.0</v>
      </c>
      <c r="C645" s="35">
        <v>15438.0</v>
      </c>
      <c r="D645" s="35">
        <v>14085.0</v>
      </c>
    </row>
    <row r="646" ht="12.75" customHeight="1">
      <c r="A646" s="32" t="s">
        <v>140</v>
      </c>
      <c r="B646" s="34">
        <v>14.0</v>
      </c>
      <c r="C646" s="35">
        <v>16974.0</v>
      </c>
      <c r="D646" s="35">
        <v>16509.0</v>
      </c>
    </row>
    <row r="647" ht="12.75" customHeight="1">
      <c r="A647" s="32" t="s">
        <v>122</v>
      </c>
      <c r="B647" s="34" t="s">
        <v>395</v>
      </c>
      <c r="C647" s="35">
        <v>12731.0</v>
      </c>
      <c r="D647" s="35">
        <v>12394.0</v>
      </c>
    </row>
    <row r="648" ht="12.75" customHeight="1">
      <c r="A648" s="32" t="s">
        <v>122</v>
      </c>
      <c r="B648" s="34">
        <v>1.0</v>
      </c>
      <c r="C648" s="35">
        <v>13827.0</v>
      </c>
      <c r="D648" s="35">
        <v>12793.0</v>
      </c>
    </row>
    <row r="649" ht="12.75" customHeight="1">
      <c r="A649" s="32" t="s">
        <v>122</v>
      </c>
      <c r="B649" s="34">
        <v>2.0</v>
      </c>
      <c r="C649" s="35">
        <v>14060.0</v>
      </c>
      <c r="D649" s="35">
        <v>13432.0</v>
      </c>
    </row>
    <row r="650" ht="12.75" customHeight="1">
      <c r="A650" s="32" t="s">
        <v>122</v>
      </c>
      <c r="B650" s="34">
        <v>3.0</v>
      </c>
      <c r="C650" s="35">
        <v>14382.0</v>
      </c>
      <c r="D650" s="35">
        <v>13631.0</v>
      </c>
    </row>
    <row r="651" ht="12.75" customHeight="1">
      <c r="A651" s="32" t="s">
        <v>122</v>
      </c>
      <c r="B651" s="34">
        <v>4.0</v>
      </c>
      <c r="C651" s="35">
        <v>15845.0</v>
      </c>
      <c r="D651" s="35">
        <v>14966.0</v>
      </c>
    </row>
    <row r="652" ht="12.75" customHeight="1">
      <c r="A652" s="32" t="s">
        <v>122</v>
      </c>
      <c r="B652" s="34">
        <v>5.0</v>
      </c>
      <c r="C652" s="35">
        <v>16899.0</v>
      </c>
      <c r="D652" s="35">
        <v>15681.0</v>
      </c>
    </row>
    <row r="653" ht="12.75" customHeight="1">
      <c r="A653" s="32" t="s">
        <v>122</v>
      </c>
      <c r="B653" s="34">
        <v>6.0</v>
      </c>
      <c r="C653" s="35">
        <v>18942.0</v>
      </c>
      <c r="D653" s="35">
        <v>18118.0</v>
      </c>
    </row>
    <row r="654" ht="12.75" customHeight="1">
      <c r="A654" s="32" t="s">
        <v>122</v>
      </c>
      <c r="B654" s="34">
        <v>7.0</v>
      </c>
      <c r="C654" s="35">
        <v>19383.0</v>
      </c>
      <c r="D654" s="35">
        <v>18439.0</v>
      </c>
    </row>
    <row r="655" ht="12.75" customHeight="1">
      <c r="A655" s="32" t="s">
        <v>122</v>
      </c>
      <c r="B655" s="34">
        <v>8.0</v>
      </c>
      <c r="C655" s="35">
        <v>18667.0</v>
      </c>
      <c r="D655" s="35">
        <v>17768.0</v>
      </c>
    </row>
    <row r="656" ht="12.75" customHeight="1">
      <c r="A656" s="32" t="s">
        <v>122</v>
      </c>
      <c r="B656" s="34">
        <v>9.0</v>
      </c>
      <c r="C656" s="35">
        <v>18349.0</v>
      </c>
      <c r="D656" s="35">
        <v>17252.0</v>
      </c>
    </row>
    <row r="657" ht="12.75" customHeight="1">
      <c r="A657" s="32" t="s">
        <v>122</v>
      </c>
      <c r="B657" s="34">
        <v>10.0</v>
      </c>
      <c r="C657" s="35">
        <v>18438.0</v>
      </c>
      <c r="D657" s="35">
        <v>17202.0</v>
      </c>
    </row>
    <row r="658" ht="12.75" customHeight="1">
      <c r="A658" s="32" t="s">
        <v>122</v>
      </c>
      <c r="B658" s="34">
        <v>11.0</v>
      </c>
      <c r="C658" s="35">
        <v>17054.0</v>
      </c>
      <c r="D658" s="35">
        <v>16284.0</v>
      </c>
    </row>
    <row r="659" ht="12.75" customHeight="1">
      <c r="A659" s="32" t="s">
        <v>122</v>
      </c>
      <c r="B659" s="34">
        <v>12.0</v>
      </c>
      <c r="C659" s="35">
        <v>20448.0</v>
      </c>
      <c r="D659" s="35">
        <v>19134.0</v>
      </c>
    </row>
    <row r="660" ht="12.75" customHeight="1">
      <c r="A660" s="32" t="s">
        <v>122</v>
      </c>
      <c r="B660" s="34">
        <v>13.0</v>
      </c>
      <c r="C660" s="35">
        <v>18596.0</v>
      </c>
      <c r="D660" s="35">
        <v>17390.0</v>
      </c>
    </row>
    <row r="661" ht="12.75" customHeight="1">
      <c r="A661" s="32" t="s">
        <v>122</v>
      </c>
      <c r="B661" s="34">
        <v>14.0</v>
      </c>
      <c r="C661" s="35">
        <v>18084.0</v>
      </c>
      <c r="D661" s="35">
        <v>17130.0</v>
      </c>
    </row>
    <row r="662" ht="12.75" customHeight="1">
      <c r="A662" s="32" t="s">
        <v>167</v>
      </c>
      <c r="B662" s="34" t="s">
        <v>395</v>
      </c>
      <c r="C662" s="35">
        <v>18543.0</v>
      </c>
      <c r="D662" s="35">
        <v>17510.0</v>
      </c>
    </row>
    <row r="663" ht="12.75" customHeight="1">
      <c r="A663" s="32" t="s">
        <v>167</v>
      </c>
      <c r="B663" s="34">
        <v>1.0</v>
      </c>
      <c r="C663" s="35">
        <v>20156.0</v>
      </c>
      <c r="D663" s="35">
        <v>19168.0</v>
      </c>
    </row>
    <row r="664" ht="12.75" customHeight="1">
      <c r="A664" s="32" t="s">
        <v>167</v>
      </c>
      <c r="B664" s="34">
        <v>2.0</v>
      </c>
      <c r="C664" s="35">
        <v>21067.0</v>
      </c>
      <c r="D664" s="35">
        <v>19845.0</v>
      </c>
    </row>
    <row r="665" ht="12.75" customHeight="1">
      <c r="A665" s="32" t="s">
        <v>167</v>
      </c>
      <c r="B665" s="34">
        <v>3.0</v>
      </c>
      <c r="C665" s="35">
        <v>21332.0</v>
      </c>
      <c r="D665" s="35">
        <v>20137.0</v>
      </c>
    </row>
    <row r="666" ht="12.75" customHeight="1">
      <c r="A666" s="32" t="s">
        <v>167</v>
      </c>
      <c r="B666" s="34">
        <v>4.0</v>
      </c>
      <c r="C666" s="35">
        <v>24012.0</v>
      </c>
      <c r="D666" s="35">
        <v>22519.0</v>
      </c>
    </row>
    <row r="667" ht="12.75" customHeight="1">
      <c r="A667" s="32" t="s">
        <v>167</v>
      </c>
      <c r="B667" s="34">
        <v>5.0</v>
      </c>
      <c r="C667" s="35">
        <v>25142.0</v>
      </c>
      <c r="D667" s="35">
        <v>23437.0</v>
      </c>
    </row>
    <row r="668" ht="12.75" customHeight="1">
      <c r="A668" s="32" t="s">
        <v>167</v>
      </c>
      <c r="B668" s="34">
        <v>6.0</v>
      </c>
      <c r="C668" s="35">
        <v>29016.0</v>
      </c>
      <c r="D668" s="35">
        <v>27191.0</v>
      </c>
    </row>
    <row r="669" ht="12.75" customHeight="1">
      <c r="A669" s="32" t="s">
        <v>167</v>
      </c>
      <c r="B669" s="34">
        <v>7.0</v>
      </c>
      <c r="C669" s="35">
        <v>30535.0</v>
      </c>
      <c r="D669" s="35">
        <v>28788.0</v>
      </c>
    </row>
    <row r="670" ht="12.75" customHeight="1">
      <c r="A670" s="32" t="s">
        <v>167</v>
      </c>
      <c r="B670" s="34">
        <v>8.0</v>
      </c>
      <c r="C670" s="35">
        <v>30517.0</v>
      </c>
      <c r="D670" s="35">
        <v>29138.0</v>
      </c>
    </row>
    <row r="671" ht="12.75" customHeight="1">
      <c r="A671" s="32" t="s">
        <v>167</v>
      </c>
      <c r="B671" s="34">
        <v>9.0</v>
      </c>
      <c r="C671" s="35">
        <v>30297.0</v>
      </c>
      <c r="D671" s="35">
        <v>28629.0</v>
      </c>
    </row>
    <row r="672" ht="12.75" customHeight="1">
      <c r="A672" s="32" t="s">
        <v>167</v>
      </c>
      <c r="B672" s="34">
        <v>10.0</v>
      </c>
      <c r="C672" s="35">
        <v>30262.0</v>
      </c>
      <c r="D672" s="35">
        <v>28591.0</v>
      </c>
    </row>
    <row r="673" ht="12.75" customHeight="1">
      <c r="A673" s="32" t="s">
        <v>167</v>
      </c>
      <c r="B673" s="34">
        <v>11.0</v>
      </c>
      <c r="C673" s="35">
        <v>28423.0</v>
      </c>
      <c r="D673" s="35">
        <v>26934.0</v>
      </c>
    </row>
    <row r="674" ht="12.75" customHeight="1">
      <c r="A674" s="32" t="s">
        <v>167</v>
      </c>
      <c r="B674" s="34">
        <v>12.0</v>
      </c>
      <c r="C674" s="35">
        <v>27801.0</v>
      </c>
      <c r="D674" s="35">
        <v>26436.0</v>
      </c>
    </row>
    <row r="675" ht="12.75" customHeight="1">
      <c r="A675" s="32" t="s">
        <v>167</v>
      </c>
      <c r="B675" s="34">
        <v>13.0</v>
      </c>
      <c r="C675" s="35">
        <v>26560.0</v>
      </c>
      <c r="D675" s="35">
        <v>24714.0</v>
      </c>
    </row>
    <row r="676" ht="12.75" customHeight="1">
      <c r="A676" s="32" t="s">
        <v>167</v>
      </c>
      <c r="B676" s="34">
        <v>14.0</v>
      </c>
      <c r="C676" s="35">
        <v>27206.0</v>
      </c>
      <c r="D676" s="35">
        <v>26357.0</v>
      </c>
    </row>
    <row r="677" ht="12.75" customHeight="1">
      <c r="A677" s="32" t="s">
        <v>170</v>
      </c>
      <c r="B677" s="34" t="s">
        <v>395</v>
      </c>
      <c r="C677" s="35">
        <v>2910.0</v>
      </c>
      <c r="D677" s="35">
        <v>2757.0</v>
      </c>
    </row>
    <row r="678" ht="12.75" customHeight="1">
      <c r="A678" s="32" t="s">
        <v>170</v>
      </c>
      <c r="B678" s="34">
        <v>1.0</v>
      </c>
      <c r="C678" s="35">
        <v>3228.0</v>
      </c>
      <c r="D678" s="35">
        <v>3144.0</v>
      </c>
    </row>
    <row r="679" ht="12.75" customHeight="1">
      <c r="A679" s="32" t="s">
        <v>170</v>
      </c>
      <c r="B679" s="34">
        <v>2.0</v>
      </c>
      <c r="C679" s="35">
        <v>3327.0</v>
      </c>
      <c r="D679" s="35">
        <v>3291.0</v>
      </c>
    </row>
    <row r="680" ht="12.75" customHeight="1">
      <c r="A680" s="32" t="s">
        <v>170</v>
      </c>
      <c r="B680" s="34">
        <v>3.0</v>
      </c>
      <c r="C680" s="35">
        <v>3465.0</v>
      </c>
      <c r="D680" s="35">
        <v>3259.0</v>
      </c>
    </row>
    <row r="681" ht="12.75" customHeight="1">
      <c r="A681" s="32" t="s">
        <v>170</v>
      </c>
      <c r="B681" s="34">
        <v>4.0</v>
      </c>
      <c r="C681" s="35">
        <v>3723.0</v>
      </c>
      <c r="D681" s="35">
        <v>3633.0</v>
      </c>
    </row>
    <row r="682" ht="12.75" customHeight="1">
      <c r="A682" s="32" t="s">
        <v>170</v>
      </c>
      <c r="B682" s="34">
        <v>5.0</v>
      </c>
      <c r="C682" s="35">
        <v>4062.0</v>
      </c>
      <c r="D682" s="35">
        <v>3980.0</v>
      </c>
    </row>
    <row r="683" ht="12.75" customHeight="1">
      <c r="A683" s="32" t="s">
        <v>170</v>
      </c>
      <c r="B683" s="34">
        <v>6.0</v>
      </c>
      <c r="C683" s="35">
        <v>4745.0</v>
      </c>
      <c r="D683" s="35">
        <v>4627.0</v>
      </c>
    </row>
    <row r="684" ht="12.75" customHeight="1">
      <c r="A684" s="32" t="s">
        <v>170</v>
      </c>
      <c r="B684" s="34">
        <v>7.0</v>
      </c>
      <c r="C684" s="35">
        <v>4934.0</v>
      </c>
      <c r="D684" s="35">
        <v>4689.0</v>
      </c>
    </row>
    <row r="685" ht="12.75" customHeight="1">
      <c r="A685" s="32" t="s">
        <v>170</v>
      </c>
      <c r="B685" s="34">
        <v>8.0</v>
      </c>
      <c r="C685" s="35">
        <v>5047.0</v>
      </c>
      <c r="D685" s="35">
        <v>4761.0</v>
      </c>
    </row>
    <row r="686" ht="12.75" customHeight="1">
      <c r="A686" s="32" t="s">
        <v>170</v>
      </c>
      <c r="B686" s="34">
        <v>9.0</v>
      </c>
      <c r="C686" s="35">
        <v>5078.0</v>
      </c>
      <c r="D686" s="35">
        <v>4791.0</v>
      </c>
    </row>
    <row r="687" ht="12.75" customHeight="1">
      <c r="A687" s="32" t="s">
        <v>170</v>
      </c>
      <c r="B687" s="34">
        <v>10.0</v>
      </c>
      <c r="C687" s="35">
        <v>4942.0</v>
      </c>
      <c r="D687" s="35">
        <v>4696.0</v>
      </c>
    </row>
    <row r="688" ht="12.75" customHeight="1">
      <c r="A688" s="32" t="s">
        <v>170</v>
      </c>
      <c r="B688" s="34">
        <v>11.0</v>
      </c>
      <c r="C688" s="35">
        <v>4589.0</v>
      </c>
      <c r="D688" s="35">
        <v>4350.0</v>
      </c>
    </row>
    <row r="689" ht="12.75" customHeight="1">
      <c r="A689" s="32" t="s">
        <v>170</v>
      </c>
      <c r="B689" s="34">
        <v>12.0</v>
      </c>
      <c r="C689" s="35">
        <v>4336.0</v>
      </c>
      <c r="D689" s="35">
        <v>4115.0</v>
      </c>
    </row>
    <row r="690" ht="12.75" customHeight="1">
      <c r="A690" s="32" t="s">
        <v>170</v>
      </c>
      <c r="B690" s="34">
        <v>13.0</v>
      </c>
      <c r="C690" s="35">
        <v>4403.0</v>
      </c>
      <c r="D690" s="35">
        <v>4207.0</v>
      </c>
    </row>
    <row r="691" ht="12.75" customHeight="1">
      <c r="A691" s="32" t="s">
        <v>170</v>
      </c>
      <c r="B691" s="34">
        <v>14.0</v>
      </c>
      <c r="C691" s="35">
        <v>4214.0</v>
      </c>
      <c r="D691" s="35">
        <v>4117.0</v>
      </c>
    </row>
    <row r="692" ht="12.75" customHeight="1">
      <c r="A692" s="32" t="s">
        <v>173</v>
      </c>
      <c r="B692" s="34" t="s">
        <v>395</v>
      </c>
      <c r="C692" s="35">
        <v>2379.0</v>
      </c>
      <c r="D692" s="35">
        <v>2280.0</v>
      </c>
    </row>
    <row r="693" ht="12.75" customHeight="1">
      <c r="A693" s="32" t="s">
        <v>173</v>
      </c>
      <c r="B693" s="34">
        <v>1.0</v>
      </c>
      <c r="C693" s="35">
        <v>2732.0</v>
      </c>
      <c r="D693" s="35">
        <v>2500.0</v>
      </c>
    </row>
    <row r="694" ht="12.75" customHeight="1">
      <c r="A694" s="32" t="s">
        <v>173</v>
      </c>
      <c r="B694" s="34">
        <v>2.0</v>
      </c>
      <c r="C694" s="35">
        <v>2660.0</v>
      </c>
      <c r="D694" s="35">
        <v>2752.0</v>
      </c>
    </row>
    <row r="695" ht="12.75" customHeight="1">
      <c r="A695" s="32" t="s">
        <v>173</v>
      </c>
      <c r="B695" s="34">
        <v>3.0</v>
      </c>
      <c r="C695" s="35">
        <v>2975.0</v>
      </c>
      <c r="D695" s="35">
        <v>2818.0</v>
      </c>
    </row>
    <row r="696" ht="12.75" customHeight="1">
      <c r="A696" s="32" t="s">
        <v>173</v>
      </c>
      <c r="B696" s="34">
        <v>4.0</v>
      </c>
      <c r="C696" s="35">
        <v>3388.0</v>
      </c>
      <c r="D696" s="35">
        <v>3172.0</v>
      </c>
    </row>
    <row r="697" ht="12.75" customHeight="1">
      <c r="A697" s="32" t="s">
        <v>173</v>
      </c>
      <c r="B697" s="34">
        <v>5.0</v>
      </c>
      <c r="C697" s="35">
        <v>3412.0</v>
      </c>
      <c r="D697" s="35">
        <v>3197.0</v>
      </c>
    </row>
    <row r="698" ht="12.75" customHeight="1">
      <c r="A698" s="32" t="s">
        <v>173</v>
      </c>
      <c r="B698" s="34">
        <v>6.0</v>
      </c>
      <c r="C698" s="35">
        <v>3852.0</v>
      </c>
      <c r="D698" s="35">
        <v>3738.0</v>
      </c>
    </row>
    <row r="699" ht="12.75" customHeight="1">
      <c r="A699" s="32" t="s">
        <v>173</v>
      </c>
      <c r="B699" s="34">
        <v>7.0</v>
      </c>
      <c r="C699" s="35">
        <v>3923.0</v>
      </c>
      <c r="D699" s="35">
        <v>3770.0</v>
      </c>
    </row>
    <row r="700" ht="12.75" customHeight="1">
      <c r="A700" s="32" t="s">
        <v>173</v>
      </c>
      <c r="B700" s="34">
        <v>8.0</v>
      </c>
      <c r="C700" s="35">
        <v>3975.0</v>
      </c>
      <c r="D700" s="35">
        <v>3819.0</v>
      </c>
    </row>
    <row r="701" ht="12.75" customHeight="1">
      <c r="A701" s="32" t="s">
        <v>173</v>
      </c>
      <c r="B701" s="34">
        <v>9.0</v>
      </c>
      <c r="C701" s="35">
        <v>4093.0</v>
      </c>
      <c r="D701" s="35">
        <v>3857.0</v>
      </c>
    </row>
    <row r="702" ht="12.75" customHeight="1">
      <c r="A702" s="32" t="s">
        <v>173</v>
      </c>
      <c r="B702" s="34">
        <v>10.0</v>
      </c>
      <c r="C702" s="35">
        <v>4041.0</v>
      </c>
      <c r="D702" s="35">
        <v>3890.0</v>
      </c>
    </row>
    <row r="703" ht="12.75" customHeight="1">
      <c r="A703" s="32" t="s">
        <v>173</v>
      </c>
      <c r="B703" s="34">
        <v>11.0</v>
      </c>
      <c r="C703" s="35">
        <v>3880.0</v>
      </c>
      <c r="D703" s="35">
        <v>3721.0</v>
      </c>
    </row>
    <row r="704" ht="12.75" customHeight="1">
      <c r="A704" s="32" t="s">
        <v>173</v>
      </c>
      <c r="B704" s="34">
        <v>12.0</v>
      </c>
      <c r="C704" s="35">
        <v>3975.0</v>
      </c>
      <c r="D704" s="35">
        <v>3830.0</v>
      </c>
    </row>
    <row r="705" ht="12.75" customHeight="1">
      <c r="A705" s="32" t="s">
        <v>173</v>
      </c>
      <c r="B705" s="34">
        <v>13.0</v>
      </c>
      <c r="C705" s="35">
        <v>3943.0</v>
      </c>
      <c r="D705" s="35">
        <v>3940.0</v>
      </c>
    </row>
    <row r="706" ht="12.75" customHeight="1">
      <c r="A706" s="32" t="s">
        <v>173</v>
      </c>
      <c r="B706" s="34">
        <v>14.0</v>
      </c>
      <c r="C706" s="35">
        <v>4045.0</v>
      </c>
      <c r="D706" s="35">
        <v>3969.0</v>
      </c>
    </row>
    <row r="707" ht="12.75" customHeight="1">
      <c r="A707" s="32" t="s">
        <v>176</v>
      </c>
      <c r="B707" s="34" t="s">
        <v>395</v>
      </c>
      <c r="C707" s="35">
        <v>18822.0</v>
      </c>
      <c r="D707" s="35">
        <v>17771.0</v>
      </c>
    </row>
    <row r="708" ht="12.75" customHeight="1">
      <c r="A708" s="32" t="s">
        <v>176</v>
      </c>
      <c r="B708" s="34">
        <v>1.0</v>
      </c>
      <c r="C708" s="35">
        <v>21103.0</v>
      </c>
      <c r="D708" s="35">
        <v>19882.0</v>
      </c>
    </row>
    <row r="709" ht="12.75" customHeight="1">
      <c r="A709" s="32" t="s">
        <v>176</v>
      </c>
      <c r="B709" s="34">
        <v>2.0</v>
      </c>
      <c r="C709" s="35">
        <v>21219.0</v>
      </c>
      <c r="D709" s="35">
        <v>20225.0</v>
      </c>
    </row>
    <row r="710" ht="12.75" customHeight="1">
      <c r="A710" s="32" t="s">
        <v>176</v>
      </c>
      <c r="B710" s="34">
        <v>3.0</v>
      </c>
      <c r="C710" s="35">
        <v>21909.0</v>
      </c>
      <c r="D710" s="35">
        <v>20933.0</v>
      </c>
    </row>
    <row r="711" ht="12.75" customHeight="1">
      <c r="A711" s="32" t="s">
        <v>176</v>
      </c>
      <c r="B711" s="34">
        <v>4.0</v>
      </c>
      <c r="C711" s="35">
        <v>24110.0</v>
      </c>
      <c r="D711" s="35">
        <v>23091.0</v>
      </c>
    </row>
    <row r="712" ht="12.75" customHeight="1">
      <c r="A712" s="32" t="s">
        <v>176</v>
      </c>
      <c r="B712" s="34">
        <v>5.0</v>
      </c>
      <c r="C712" s="35">
        <v>25387.0</v>
      </c>
      <c r="D712" s="35">
        <v>24176.0</v>
      </c>
    </row>
    <row r="713" ht="12.75" customHeight="1">
      <c r="A713" s="32" t="s">
        <v>176</v>
      </c>
      <c r="B713" s="34">
        <v>6.0</v>
      </c>
      <c r="C713" s="35">
        <v>29576.0</v>
      </c>
      <c r="D713" s="35">
        <v>27351.0</v>
      </c>
    </row>
    <row r="714" ht="12.75" customHeight="1">
      <c r="A714" s="32" t="s">
        <v>176</v>
      </c>
      <c r="B714" s="34">
        <v>7.0</v>
      </c>
      <c r="C714" s="35">
        <v>29574.0</v>
      </c>
      <c r="D714" s="35">
        <v>28272.0</v>
      </c>
    </row>
    <row r="715" ht="12.75" customHeight="1">
      <c r="A715" s="32" t="s">
        <v>176</v>
      </c>
      <c r="B715" s="34">
        <v>8.0</v>
      </c>
      <c r="C715" s="35">
        <v>29280.0</v>
      </c>
      <c r="D715" s="35">
        <v>27711.0</v>
      </c>
    </row>
    <row r="716" ht="12.75" customHeight="1">
      <c r="A716" s="32" t="s">
        <v>176</v>
      </c>
      <c r="B716" s="34">
        <v>9.0</v>
      </c>
      <c r="C716" s="35">
        <v>29302.0</v>
      </c>
      <c r="D716" s="35">
        <v>27625.0</v>
      </c>
    </row>
    <row r="717" ht="12.75" customHeight="1">
      <c r="A717" s="32" t="s">
        <v>176</v>
      </c>
      <c r="B717" s="34">
        <v>10.0</v>
      </c>
      <c r="C717" s="35">
        <v>28974.0</v>
      </c>
      <c r="D717" s="35">
        <v>27080.0</v>
      </c>
    </row>
    <row r="718" ht="12.75" customHeight="1">
      <c r="A718" s="32" t="s">
        <v>176</v>
      </c>
      <c r="B718" s="34">
        <v>11.0</v>
      </c>
      <c r="C718" s="35">
        <v>26060.0</v>
      </c>
      <c r="D718" s="35">
        <v>24687.0</v>
      </c>
    </row>
    <row r="719" ht="12.75" customHeight="1">
      <c r="A719" s="32" t="s">
        <v>176</v>
      </c>
      <c r="B719" s="34">
        <v>12.0</v>
      </c>
      <c r="C719" s="35">
        <v>25206.0</v>
      </c>
      <c r="D719" s="35">
        <v>23541.0</v>
      </c>
    </row>
    <row r="720" ht="12.75" customHeight="1">
      <c r="A720" s="32" t="s">
        <v>176</v>
      </c>
      <c r="B720" s="34">
        <v>13.0</v>
      </c>
      <c r="C720" s="35">
        <v>23853.0</v>
      </c>
      <c r="D720" s="35">
        <v>22834.0</v>
      </c>
    </row>
    <row r="721" ht="12.75" customHeight="1">
      <c r="A721" s="32" t="s">
        <v>176</v>
      </c>
      <c r="B721" s="34">
        <v>14.0</v>
      </c>
      <c r="C721" s="35">
        <v>22862.0</v>
      </c>
      <c r="D721" s="35">
        <v>21752.0</v>
      </c>
    </row>
    <row r="722" ht="12.75" customHeight="1">
      <c r="A722" s="37" t="s">
        <v>179</v>
      </c>
      <c r="B722" s="34" t="s">
        <v>395</v>
      </c>
      <c r="C722" s="35">
        <v>6588.0</v>
      </c>
      <c r="D722" s="35">
        <v>6159.0</v>
      </c>
    </row>
    <row r="723" ht="12.75" customHeight="1">
      <c r="A723" s="37" t="s">
        <v>179</v>
      </c>
      <c r="B723" s="34">
        <v>1.0</v>
      </c>
      <c r="C723" s="35">
        <v>7399.0</v>
      </c>
      <c r="D723" s="35">
        <v>6987.0</v>
      </c>
    </row>
    <row r="724" ht="12.75" customHeight="1">
      <c r="A724" s="37" t="s">
        <v>179</v>
      </c>
      <c r="B724" s="34">
        <v>2.0</v>
      </c>
      <c r="C724" s="35">
        <v>7467.0</v>
      </c>
      <c r="D724" s="35">
        <v>7071.0</v>
      </c>
    </row>
    <row r="725" ht="12.75" customHeight="1">
      <c r="A725" s="37" t="s">
        <v>179</v>
      </c>
      <c r="B725" s="34">
        <v>3.0</v>
      </c>
      <c r="C725" s="35">
        <v>7402.0</v>
      </c>
      <c r="D725" s="35">
        <v>7132.0</v>
      </c>
    </row>
    <row r="726" ht="12.75" customHeight="1">
      <c r="A726" s="37" t="s">
        <v>179</v>
      </c>
      <c r="B726" s="34">
        <v>4.0</v>
      </c>
      <c r="C726" s="35">
        <v>8298.0</v>
      </c>
      <c r="D726" s="35">
        <v>7970.0</v>
      </c>
    </row>
    <row r="727" ht="12.75" customHeight="1">
      <c r="A727" s="37" t="s">
        <v>179</v>
      </c>
      <c r="B727" s="34">
        <v>5.0</v>
      </c>
      <c r="C727" s="35">
        <v>9092.0</v>
      </c>
      <c r="D727" s="35">
        <v>8389.0</v>
      </c>
    </row>
    <row r="728" ht="12.75" customHeight="1">
      <c r="A728" s="37" t="s">
        <v>179</v>
      </c>
      <c r="B728" s="34">
        <v>6.0</v>
      </c>
      <c r="C728" s="35">
        <v>10566.0</v>
      </c>
      <c r="D728" s="35">
        <v>10128.0</v>
      </c>
    </row>
    <row r="729" ht="12.75" customHeight="1">
      <c r="A729" s="37" t="s">
        <v>179</v>
      </c>
      <c r="B729" s="34">
        <v>7.0</v>
      </c>
      <c r="C729" s="35">
        <v>11120.0</v>
      </c>
      <c r="D729" s="35">
        <v>10455.0</v>
      </c>
    </row>
    <row r="730" ht="12.75" customHeight="1">
      <c r="A730" s="37" t="s">
        <v>179</v>
      </c>
      <c r="B730" s="34">
        <v>8.0</v>
      </c>
      <c r="C730" s="35">
        <v>11060.0</v>
      </c>
      <c r="D730" s="35">
        <v>10442.0</v>
      </c>
    </row>
    <row r="731" ht="12.75" customHeight="1">
      <c r="A731" s="37" t="s">
        <v>179</v>
      </c>
      <c r="B731" s="34">
        <v>9.0</v>
      </c>
      <c r="C731" s="35">
        <v>11147.0</v>
      </c>
      <c r="D731" s="35">
        <v>10661.0</v>
      </c>
    </row>
    <row r="732" ht="12.75" customHeight="1">
      <c r="A732" s="37" t="s">
        <v>179</v>
      </c>
      <c r="B732" s="34">
        <v>10.0</v>
      </c>
      <c r="C732" s="35">
        <v>11504.0</v>
      </c>
      <c r="D732" s="35">
        <v>10948.0</v>
      </c>
    </row>
    <row r="733" ht="12.75" customHeight="1">
      <c r="A733" s="37" t="s">
        <v>179</v>
      </c>
      <c r="B733" s="34">
        <v>11.0</v>
      </c>
      <c r="C733" s="35">
        <v>10966.0</v>
      </c>
      <c r="D733" s="35">
        <v>10337.0</v>
      </c>
    </row>
    <row r="734" ht="12.75" customHeight="1">
      <c r="A734" s="37" t="s">
        <v>179</v>
      </c>
      <c r="B734" s="34">
        <v>12.0</v>
      </c>
      <c r="C734" s="35">
        <v>10132.0</v>
      </c>
      <c r="D734" s="35">
        <v>9668.0</v>
      </c>
    </row>
    <row r="735" ht="12.75" customHeight="1">
      <c r="A735" s="37" t="s">
        <v>179</v>
      </c>
      <c r="B735" s="34">
        <v>13.0</v>
      </c>
      <c r="C735" s="35">
        <v>9622.0</v>
      </c>
      <c r="D735" s="35">
        <v>9374.0</v>
      </c>
    </row>
    <row r="736" ht="12.75" customHeight="1">
      <c r="A736" s="37" t="s">
        <v>179</v>
      </c>
      <c r="B736" s="34">
        <v>14.0</v>
      </c>
      <c r="C736" s="35">
        <v>9265.0</v>
      </c>
      <c r="D736" s="35">
        <v>8894.0</v>
      </c>
    </row>
    <row r="737" ht="12.75" customHeight="1">
      <c r="A737" s="32" t="s">
        <v>182</v>
      </c>
      <c r="B737" s="34" t="s">
        <v>395</v>
      </c>
      <c r="C737" s="35">
        <v>5038.0</v>
      </c>
      <c r="D737" s="35">
        <v>4854.0</v>
      </c>
    </row>
    <row r="738" ht="12.75" customHeight="1">
      <c r="A738" s="32" t="s">
        <v>182</v>
      </c>
      <c r="B738" s="34">
        <v>1.0</v>
      </c>
      <c r="C738" s="35">
        <v>5642.0</v>
      </c>
      <c r="D738" s="35">
        <v>5410.0</v>
      </c>
    </row>
    <row r="739" ht="12.75" customHeight="1">
      <c r="A739" s="32" t="s">
        <v>182</v>
      </c>
      <c r="B739" s="34">
        <v>2.0</v>
      </c>
      <c r="C739" s="35">
        <v>5904.0</v>
      </c>
      <c r="D739" s="35">
        <v>5458.0</v>
      </c>
    </row>
    <row r="740" ht="12.75" customHeight="1">
      <c r="A740" s="32" t="s">
        <v>182</v>
      </c>
      <c r="B740" s="34">
        <v>3.0</v>
      </c>
      <c r="C740" s="35">
        <v>6273.0</v>
      </c>
      <c r="D740" s="35">
        <v>5783.0</v>
      </c>
    </row>
    <row r="741" ht="12.75" customHeight="1">
      <c r="A741" s="32" t="s">
        <v>182</v>
      </c>
      <c r="B741" s="34">
        <v>4.0</v>
      </c>
      <c r="C741" s="35">
        <v>6615.0</v>
      </c>
      <c r="D741" s="35">
        <v>6293.0</v>
      </c>
    </row>
    <row r="742" ht="12.75" customHeight="1">
      <c r="A742" s="32" t="s">
        <v>182</v>
      </c>
      <c r="B742" s="34">
        <v>5.0</v>
      </c>
      <c r="C742" s="35">
        <v>7442.0</v>
      </c>
      <c r="D742" s="35">
        <v>7172.0</v>
      </c>
    </row>
    <row r="743" ht="12.75" customHeight="1">
      <c r="A743" s="32" t="s">
        <v>182</v>
      </c>
      <c r="B743" s="34">
        <v>6.0</v>
      </c>
      <c r="C743" s="35">
        <v>8275.0</v>
      </c>
      <c r="D743" s="35">
        <v>7750.0</v>
      </c>
    </row>
    <row r="744" ht="12.75" customHeight="1">
      <c r="A744" s="32" t="s">
        <v>182</v>
      </c>
      <c r="B744" s="34">
        <v>7.0</v>
      </c>
      <c r="C744" s="35">
        <v>8626.0</v>
      </c>
      <c r="D744" s="35">
        <v>8009.0</v>
      </c>
    </row>
    <row r="745" ht="12.75" customHeight="1">
      <c r="A745" s="32" t="s">
        <v>182</v>
      </c>
      <c r="B745" s="34">
        <v>8.0</v>
      </c>
      <c r="C745" s="35">
        <v>8502.0</v>
      </c>
      <c r="D745" s="35">
        <v>8006.0</v>
      </c>
    </row>
    <row r="746" ht="12.75" customHeight="1">
      <c r="A746" s="32" t="s">
        <v>182</v>
      </c>
      <c r="B746" s="34">
        <v>9.0</v>
      </c>
      <c r="C746" s="35">
        <v>8503.0</v>
      </c>
      <c r="D746" s="35">
        <v>7933.0</v>
      </c>
    </row>
    <row r="747" ht="12.75" customHeight="1">
      <c r="A747" s="32" t="s">
        <v>182</v>
      </c>
      <c r="B747" s="34">
        <v>10.0</v>
      </c>
      <c r="C747" s="35">
        <v>8718.0</v>
      </c>
      <c r="D747" s="35">
        <v>8184.0</v>
      </c>
    </row>
    <row r="748" ht="12.75" customHeight="1">
      <c r="A748" s="32" t="s">
        <v>182</v>
      </c>
      <c r="B748" s="34">
        <v>11.0</v>
      </c>
      <c r="C748" s="35">
        <v>8039.0</v>
      </c>
      <c r="D748" s="35">
        <v>7565.0</v>
      </c>
    </row>
    <row r="749" ht="12.75" customHeight="1">
      <c r="A749" s="32" t="s">
        <v>182</v>
      </c>
      <c r="B749" s="34">
        <v>12.0</v>
      </c>
      <c r="C749" s="35">
        <v>7829.0</v>
      </c>
      <c r="D749" s="35">
        <v>7647.0</v>
      </c>
    </row>
    <row r="750" ht="12.75" customHeight="1">
      <c r="A750" s="32" t="s">
        <v>182</v>
      </c>
      <c r="B750" s="34">
        <v>13.0</v>
      </c>
      <c r="C750" s="35">
        <v>7695.0</v>
      </c>
      <c r="D750" s="35">
        <v>7309.0</v>
      </c>
    </row>
    <row r="751" ht="12.75" customHeight="1">
      <c r="A751" s="32" t="s">
        <v>182</v>
      </c>
      <c r="B751" s="34">
        <v>14.0</v>
      </c>
      <c r="C751" s="35">
        <v>7277.0</v>
      </c>
      <c r="D751" s="35">
        <v>7169.0</v>
      </c>
    </row>
    <row r="752" ht="12.75" customHeight="1">
      <c r="A752" s="32" t="s">
        <v>158</v>
      </c>
      <c r="B752" s="34" t="s">
        <v>395</v>
      </c>
      <c r="C752" s="35">
        <v>11777.0</v>
      </c>
      <c r="D752" s="35">
        <v>11374.0</v>
      </c>
    </row>
    <row r="753" ht="12.75" customHeight="1">
      <c r="A753" s="32" t="s">
        <v>158</v>
      </c>
      <c r="B753" s="34">
        <v>1.0</v>
      </c>
      <c r="C753" s="35">
        <v>12953.0</v>
      </c>
      <c r="D753" s="35">
        <v>11471.0</v>
      </c>
    </row>
    <row r="754" ht="12.75" customHeight="1">
      <c r="A754" s="32" t="s">
        <v>158</v>
      </c>
      <c r="B754" s="34">
        <v>2.0</v>
      </c>
      <c r="C754" s="35">
        <v>12845.0</v>
      </c>
      <c r="D754" s="35">
        <v>10944.0</v>
      </c>
    </row>
    <row r="755" ht="12.75" customHeight="1">
      <c r="A755" s="32" t="s">
        <v>158</v>
      </c>
      <c r="B755" s="34">
        <v>3.0</v>
      </c>
      <c r="C755" s="35">
        <v>13546.0</v>
      </c>
      <c r="D755" s="35">
        <v>12431.0</v>
      </c>
    </row>
    <row r="756" ht="12.75" customHeight="1">
      <c r="A756" s="32" t="s">
        <v>158</v>
      </c>
      <c r="B756" s="34">
        <v>4.0</v>
      </c>
      <c r="C756" s="35">
        <v>14880.0</v>
      </c>
      <c r="D756" s="35">
        <v>13963.0</v>
      </c>
    </row>
    <row r="757" ht="12.75" customHeight="1">
      <c r="A757" s="32" t="s">
        <v>158</v>
      </c>
      <c r="B757" s="34">
        <v>5.0</v>
      </c>
      <c r="C757" s="35">
        <v>16103.0</v>
      </c>
      <c r="D757" s="35">
        <v>15407.0</v>
      </c>
    </row>
    <row r="758" ht="12.75" customHeight="1">
      <c r="A758" s="32" t="s">
        <v>158</v>
      </c>
      <c r="B758" s="34">
        <v>6.0</v>
      </c>
      <c r="C758" s="35">
        <v>18734.0</v>
      </c>
      <c r="D758" s="35">
        <v>17843.0</v>
      </c>
    </row>
    <row r="759" ht="12.75" customHeight="1">
      <c r="A759" s="32" t="s">
        <v>158</v>
      </c>
      <c r="B759" s="34">
        <v>7.0</v>
      </c>
      <c r="C759" s="35">
        <v>19437.0</v>
      </c>
      <c r="D759" s="35">
        <v>18478.0</v>
      </c>
    </row>
    <row r="760" ht="12.75" customHeight="1">
      <c r="A760" s="32" t="s">
        <v>158</v>
      </c>
      <c r="B760" s="34">
        <v>8.0</v>
      </c>
      <c r="C760" s="35">
        <v>19522.0</v>
      </c>
      <c r="D760" s="35">
        <v>17830.0</v>
      </c>
    </row>
    <row r="761" ht="12.75" customHeight="1">
      <c r="A761" s="32" t="s">
        <v>158</v>
      </c>
      <c r="B761" s="34">
        <v>9.0</v>
      </c>
      <c r="C761" s="35">
        <v>19216.0</v>
      </c>
      <c r="D761" s="35">
        <v>18068.0</v>
      </c>
    </row>
    <row r="762" ht="12.75" customHeight="1">
      <c r="A762" s="32" t="s">
        <v>158</v>
      </c>
      <c r="B762" s="34">
        <v>10.0</v>
      </c>
      <c r="C762" s="35">
        <v>19422.0</v>
      </c>
      <c r="D762" s="35">
        <v>18536.0</v>
      </c>
    </row>
    <row r="763" ht="12.75" customHeight="1">
      <c r="A763" s="32" t="s">
        <v>158</v>
      </c>
      <c r="B763" s="34">
        <v>11.0</v>
      </c>
      <c r="C763" s="35">
        <v>18662.0</v>
      </c>
      <c r="D763" s="35">
        <v>17597.0</v>
      </c>
    </row>
    <row r="764" ht="12.75" customHeight="1">
      <c r="A764" s="32" t="s">
        <v>158</v>
      </c>
      <c r="B764" s="34">
        <v>12.0</v>
      </c>
      <c r="C764" s="35">
        <v>16832.0</v>
      </c>
      <c r="D764" s="35">
        <v>15827.0</v>
      </c>
    </row>
    <row r="765" ht="12.75" customHeight="1">
      <c r="A765" s="32" t="s">
        <v>158</v>
      </c>
      <c r="B765" s="34">
        <v>13.0</v>
      </c>
      <c r="C765" s="35">
        <v>15683.0</v>
      </c>
      <c r="D765" s="35">
        <v>14998.0</v>
      </c>
    </row>
    <row r="766" ht="12.75" customHeight="1">
      <c r="A766" s="32" t="s">
        <v>158</v>
      </c>
      <c r="B766" s="34">
        <v>14.0</v>
      </c>
      <c r="C766" s="35">
        <v>16805.0</v>
      </c>
      <c r="D766" s="35">
        <v>16005.0</v>
      </c>
    </row>
    <row r="767" ht="12.75" customHeight="1">
      <c r="A767" s="32" t="s">
        <v>146</v>
      </c>
      <c r="B767" s="34" t="s">
        <v>395</v>
      </c>
      <c r="C767" s="35">
        <v>4584.0</v>
      </c>
      <c r="D767" s="35">
        <v>4328.0</v>
      </c>
    </row>
    <row r="768" ht="12.75" customHeight="1">
      <c r="A768" s="32" t="s">
        <v>146</v>
      </c>
      <c r="B768" s="34">
        <v>1.0</v>
      </c>
      <c r="C768" s="35">
        <v>4112.0</v>
      </c>
      <c r="D768" s="35">
        <v>3882.0</v>
      </c>
    </row>
    <row r="769" ht="12.75" customHeight="1">
      <c r="A769" s="32" t="s">
        <v>146</v>
      </c>
      <c r="B769" s="34">
        <v>2.0</v>
      </c>
      <c r="C769" s="35">
        <v>4644.0</v>
      </c>
      <c r="D769" s="35">
        <v>4394.0</v>
      </c>
    </row>
    <row r="770" ht="12.75" customHeight="1">
      <c r="A770" s="32" t="s">
        <v>146</v>
      </c>
      <c r="B770" s="34">
        <v>3.0</v>
      </c>
      <c r="C770" s="35">
        <v>4988.0</v>
      </c>
      <c r="D770" s="35">
        <v>4829.0</v>
      </c>
    </row>
    <row r="771" ht="12.75" customHeight="1">
      <c r="A771" s="32" t="s">
        <v>146</v>
      </c>
      <c r="B771" s="34">
        <v>4.0</v>
      </c>
      <c r="C771" s="35">
        <v>5759.0</v>
      </c>
      <c r="D771" s="35">
        <v>5459.0</v>
      </c>
    </row>
    <row r="772" ht="12.75" customHeight="1">
      <c r="A772" s="32" t="s">
        <v>146</v>
      </c>
      <c r="B772" s="34">
        <v>5.0</v>
      </c>
      <c r="C772" s="35">
        <v>6342.0</v>
      </c>
      <c r="D772" s="35">
        <v>6022.0</v>
      </c>
    </row>
    <row r="773" ht="12.75" customHeight="1">
      <c r="A773" s="32" t="s">
        <v>146</v>
      </c>
      <c r="B773" s="34">
        <v>6.0</v>
      </c>
      <c r="C773" s="35">
        <v>7216.0</v>
      </c>
      <c r="D773" s="35">
        <v>7077.0</v>
      </c>
    </row>
    <row r="774" ht="12.75" customHeight="1">
      <c r="A774" s="32" t="s">
        <v>146</v>
      </c>
      <c r="B774" s="34">
        <v>7.0</v>
      </c>
      <c r="C774" s="35">
        <v>7652.0</v>
      </c>
      <c r="D774" s="35">
        <v>7397.0</v>
      </c>
    </row>
    <row r="775" ht="12.75" customHeight="1">
      <c r="A775" s="32" t="s">
        <v>146</v>
      </c>
      <c r="B775" s="34">
        <v>8.0</v>
      </c>
      <c r="C775" s="35">
        <v>7177.0</v>
      </c>
      <c r="D775" s="35">
        <v>6804.0</v>
      </c>
    </row>
    <row r="776" ht="12.75" customHeight="1">
      <c r="A776" s="32" t="s">
        <v>146</v>
      </c>
      <c r="B776" s="34">
        <v>9.0</v>
      </c>
      <c r="C776" s="35">
        <v>7223.0</v>
      </c>
      <c r="D776" s="35">
        <v>6963.0</v>
      </c>
    </row>
    <row r="777" ht="12.75" customHeight="1">
      <c r="A777" s="32" t="s">
        <v>146</v>
      </c>
      <c r="B777" s="34">
        <v>10.0</v>
      </c>
      <c r="C777" s="35">
        <v>7259.0</v>
      </c>
      <c r="D777" s="35">
        <v>6819.0</v>
      </c>
    </row>
    <row r="778" ht="12.75" customHeight="1">
      <c r="A778" s="32" t="s">
        <v>146</v>
      </c>
      <c r="B778" s="34">
        <v>11.0</v>
      </c>
      <c r="C778" s="35">
        <v>6716.0</v>
      </c>
      <c r="D778" s="35">
        <v>6336.0</v>
      </c>
    </row>
    <row r="779" ht="12.75" customHeight="1">
      <c r="A779" s="32" t="s">
        <v>146</v>
      </c>
      <c r="B779" s="34">
        <v>12.0</v>
      </c>
      <c r="C779" s="35">
        <v>6965.0</v>
      </c>
      <c r="D779" s="35">
        <v>6532.0</v>
      </c>
    </row>
    <row r="780" ht="12.75" customHeight="1">
      <c r="A780" s="32" t="s">
        <v>146</v>
      </c>
      <c r="B780" s="34">
        <v>13.0</v>
      </c>
      <c r="C780" s="35">
        <v>6672.0</v>
      </c>
      <c r="D780" s="35">
        <v>6430.0</v>
      </c>
    </row>
    <row r="781" ht="12.75" customHeight="1">
      <c r="A781" s="32" t="s">
        <v>146</v>
      </c>
      <c r="B781" s="34">
        <v>14.0</v>
      </c>
      <c r="C781" s="35">
        <v>6474.0</v>
      </c>
      <c r="D781" s="35">
        <v>6370.0</v>
      </c>
    </row>
    <row r="782" ht="12.75" customHeight="1">
      <c r="A782" s="32" t="s">
        <v>143</v>
      </c>
      <c r="B782" s="34" t="s">
        <v>395</v>
      </c>
      <c r="C782" s="35">
        <v>12268.0</v>
      </c>
      <c r="D782" s="35">
        <v>11685.0</v>
      </c>
    </row>
    <row r="783" ht="12.75" customHeight="1">
      <c r="A783" s="32" t="s">
        <v>143</v>
      </c>
      <c r="B783" s="34">
        <v>1.0</v>
      </c>
      <c r="C783" s="35">
        <v>13408.0</v>
      </c>
      <c r="D783" s="35">
        <v>12634.0</v>
      </c>
    </row>
    <row r="784" ht="12.75" customHeight="1">
      <c r="A784" s="32" t="s">
        <v>143</v>
      </c>
      <c r="B784" s="34">
        <v>2.0</v>
      </c>
      <c r="C784" s="35">
        <v>14260.0</v>
      </c>
      <c r="D784" s="35">
        <v>13312.0</v>
      </c>
    </row>
    <row r="785" ht="12.75" customHeight="1">
      <c r="A785" s="32" t="s">
        <v>143</v>
      </c>
      <c r="B785" s="34">
        <v>3.0</v>
      </c>
      <c r="C785" s="35">
        <v>14661.0</v>
      </c>
      <c r="D785" s="35">
        <v>13925.0</v>
      </c>
    </row>
    <row r="786" ht="12.75" customHeight="1">
      <c r="A786" s="32" t="s">
        <v>143</v>
      </c>
      <c r="B786" s="34">
        <v>4.0</v>
      </c>
      <c r="C786" s="35">
        <v>16621.0</v>
      </c>
      <c r="D786" s="35">
        <v>15278.0</v>
      </c>
    </row>
    <row r="787" ht="12.75" customHeight="1">
      <c r="A787" s="32" t="s">
        <v>143</v>
      </c>
      <c r="B787" s="34">
        <v>5.0</v>
      </c>
      <c r="C787" s="35">
        <v>17629.0</v>
      </c>
      <c r="D787" s="35">
        <v>16544.0</v>
      </c>
    </row>
    <row r="788" ht="12.75" customHeight="1">
      <c r="A788" s="32" t="s">
        <v>143</v>
      </c>
      <c r="B788" s="34">
        <v>6.0</v>
      </c>
      <c r="C788" s="35">
        <v>19778.0</v>
      </c>
      <c r="D788" s="35">
        <v>18688.0</v>
      </c>
    </row>
    <row r="789" ht="12.75" customHeight="1">
      <c r="A789" s="32" t="s">
        <v>143</v>
      </c>
      <c r="B789" s="34">
        <v>7.0</v>
      </c>
      <c r="C789" s="35">
        <v>20668.0</v>
      </c>
      <c r="D789" s="35">
        <v>19442.0</v>
      </c>
    </row>
    <row r="790" ht="12.75" customHeight="1">
      <c r="A790" s="32" t="s">
        <v>143</v>
      </c>
      <c r="B790" s="34">
        <v>8.0</v>
      </c>
      <c r="C790" s="35">
        <v>19783.0</v>
      </c>
      <c r="D790" s="35">
        <v>18702.0</v>
      </c>
    </row>
    <row r="791" ht="12.75" customHeight="1">
      <c r="A791" s="32" t="s">
        <v>143</v>
      </c>
      <c r="B791" s="34">
        <v>9.0</v>
      </c>
      <c r="C791" s="35">
        <v>19546.0</v>
      </c>
      <c r="D791" s="35">
        <v>18745.0</v>
      </c>
    </row>
    <row r="792" ht="12.75" customHeight="1">
      <c r="A792" s="32" t="s">
        <v>143</v>
      </c>
      <c r="B792" s="34">
        <v>10.0</v>
      </c>
      <c r="C792" s="35">
        <v>19653.0</v>
      </c>
      <c r="D792" s="35">
        <v>18738.0</v>
      </c>
    </row>
    <row r="793" ht="12.75" customHeight="1">
      <c r="A793" s="32" t="s">
        <v>143</v>
      </c>
      <c r="B793" s="34">
        <v>11.0</v>
      </c>
      <c r="C793" s="35">
        <v>18585.0</v>
      </c>
      <c r="D793" s="35">
        <v>17500.0</v>
      </c>
    </row>
    <row r="794" ht="12.75" customHeight="1">
      <c r="A794" s="32" t="s">
        <v>143</v>
      </c>
      <c r="B794" s="34">
        <v>12.0</v>
      </c>
      <c r="C794" s="35">
        <v>17584.0</v>
      </c>
      <c r="D794" s="35">
        <v>16887.0</v>
      </c>
    </row>
    <row r="795" ht="12.75" customHeight="1">
      <c r="A795" s="32" t="s">
        <v>143</v>
      </c>
      <c r="B795" s="34">
        <v>13.0</v>
      </c>
      <c r="C795" s="35">
        <v>17969.0</v>
      </c>
      <c r="D795" s="35">
        <v>16803.0</v>
      </c>
    </row>
    <row r="796" ht="12.75" customHeight="1">
      <c r="A796" s="32" t="s">
        <v>143</v>
      </c>
      <c r="B796" s="34">
        <v>14.0</v>
      </c>
      <c r="C796" s="35">
        <v>17442.0</v>
      </c>
      <c r="D796" s="35">
        <v>16557.0</v>
      </c>
    </row>
    <row r="797" ht="12.75" customHeight="1">
      <c r="A797" s="32" t="s">
        <v>152</v>
      </c>
      <c r="B797" s="34" t="s">
        <v>395</v>
      </c>
      <c r="C797" s="35">
        <v>8351.0</v>
      </c>
      <c r="D797" s="35">
        <v>7767.0</v>
      </c>
    </row>
    <row r="798" ht="12.75" customHeight="1">
      <c r="A798" s="32" t="s">
        <v>152</v>
      </c>
      <c r="B798" s="34">
        <v>1.0</v>
      </c>
      <c r="C798" s="35">
        <v>8936.0</v>
      </c>
      <c r="D798" s="35">
        <v>8436.0</v>
      </c>
    </row>
    <row r="799" ht="12.75" customHeight="1">
      <c r="A799" s="32" t="s">
        <v>152</v>
      </c>
      <c r="B799" s="34">
        <v>2.0</v>
      </c>
      <c r="C799" s="35">
        <v>9211.0</v>
      </c>
      <c r="D799" s="35">
        <v>8688.0</v>
      </c>
    </row>
    <row r="800" ht="12.75" customHeight="1">
      <c r="A800" s="32" t="s">
        <v>152</v>
      </c>
      <c r="B800" s="34">
        <v>3.0</v>
      </c>
      <c r="C800" s="35">
        <v>9699.0</v>
      </c>
      <c r="D800" s="35">
        <v>9007.0</v>
      </c>
    </row>
    <row r="801" ht="12.75" customHeight="1">
      <c r="A801" s="32" t="s">
        <v>152</v>
      </c>
      <c r="B801" s="34">
        <v>4.0</v>
      </c>
      <c r="C801" s="35">
        <v>10443.0</v>
      </c>
      <c r="D801" s="35">
        <v>9604.0</v>
      </c>
    </row>
    <row r="802" ht="12.75" customHeight="1">
      <c r="A802" s="32" t="s">
        <v>152</v>
      </c>
      <c r="B802" s="34">
        <v>5.0</v>
      </c>
      <c r="C802" s="35">
        <v>10581.0</v>
      </c>
      <c r="D802" s="35">
        <v>9958.0</v>
      </c>
    </row>
    <row r="803" ht="12.75" customHeight="1">
      <c r="A803" s="32" t="s">
        <v>152</v>
      </c>
      <c r="B803" s="34">
        <v>6.0</v>
      </c>
      <c r="C803" s="35">
        <v>12226.0</v>
      </c>
      <c r="D803" s="35">
        <v>11654.0</v>
      </c>
    </row>
    <row r="804" ht="12.75" customHeight="1">
      <c r="A804" s="32" t="s">
        <v>152</v>
      </c>
      <c r="B804" s="34">
        <v>7.0</v>
      </c>
      <c r="C804" s="35">
        <v>13004.0</v>
      </c>
      <c r="D804" s="35">
        <v>12087.0</v>
      </c>
    </row>
    <row r="805" ht="12.75" customHeight="1">
      <c r="A805" s="32" t="s">
        <v>152</v>
      </c>
      <c r="B805" s="34">
        <v>8.0</v>
      </c>
      <c r="C805" s="35">
        <v>13287.0</v>
      </c>
      <c r="D805" s="35">
        <v>12651.0</v>
      </c>
    </row>
    <row r="806" ht="12.75" customHeight="1">
      <c r="A806" s="32" t="s">
        <v>152</v>
      </c>
      <c r="B806" s="34">
        <v>9.0</v>
      </c>
      <c r="C806" s="35">
        <v>13411.0</v>
      </c>
      <c r="D806" s="35">
        <v>12694.0</v>
      </c>
    </row>
    <row r="807" ht="12.75" customHeight="1">
      <c r="A807" s="32" t="s">
        <v>152</v>
      </c>
      <c r="B807" s="34">
        <v>10.0</v>
      </c>
      <c r="C807" s="35">
        <v>13679.0</v>
      </c>
      <c r="D807" s="35">
        <v>12697.0</v>
      </c>
    </row>
    <row r="808" ht="12.75" customHeight="1">
      <c r="A808" s="32" t="s">
        <v>152</v>
      </c>
      <c r="B808" s="34">
        <v>11.0</v>
      </c>
      <c r="C808" s="35">
        <v>12673.0</v>
      </c>
      <c r="D808" s="35">
        <v>12188.0</v>
      </c>
    </row>
    <row r="809" ht="12.75" customHeight="1">
      <c r="A809" s="32" t="s">
        <v>152</v>
      </c>
      <c r="B809" s="34">
        <v>12.0</v>
      </c>
      <c r="C809" s="35">
        <v>13095.0</v>
      </c>
      <c r="D809" s="35">
        <v>12220.0</v>
      </c>
    </row>
    <row r="810" ht="12.75" customHeight="1">
      <c r="A810" s="32" t="s">
        <v>152</v>
      </c>
      <c r="B810" s="34">
        <v>13.0</v>
      </c>
      <c r="C810" s="35">
        <v>12344.0</v>
      </c>
      <c r="D810" s="35">
        <v>11561.0</v>
      </c>
    </row>
    <row r="811" ht="12.75" customHeight="1">
      <c r="A811" s="32" t="s">
        <v>152</v>
      </c>
      <c r="B811" s="34">
        <v>14.0</v>
      </c>
      <c r="C811" s="35">
        <v>11907.0</v>
      </c>
      <c r="D811" s="35">
        <v>10963.0</v>
      </c>
    </row>
    <row r="812" ht="12.75" customHeight="1">
      <c r="A812" s="32" t="s">
        <v>155</v>
      </c>
      <c r="B812" s="34" t="s">
        <v>395</v>
      </c>
      <c r="C812" s="35">
        <v>4368.0</v>
      </c>
      <c r="D812" s="35">
        <v>4056.0</v>
      </c>
    </row>
    <row r="813" ht="12.75" customHeight="1">
      <c r="A813" s="32" t="s">
        <v>155</v>
      </c>
      <c r="B813" s="34">
        <v>1.0</v>
      </c>
      <c r="C813" s="35">
        <v>4869.0</v>
      </c>
      <c r="D813" s="35">
        <v>4661.0</v>
      </c>
    </row>
    <row r="814" ht="12.75" customHeight="1">
      <c r="A814" s="32" t="s">
        <v>155</v>
      </c>
      <c r="B814" s="34">
        <v>2.0</v>
      </c>
      <c r="C814" s="35">
        <v>4836.0</v>
      </c>
      <c r="D814" s="35">
        <v>4682.0</v>
      </c>
    </row>
    <row r="815" ht="12.75" customHeight="1">
      <c r="A815" s="32" t="s">
        <v>155</v>
      </c>
      <c r="B815" s="34">
        <v>3.0</v>
      </c>
      <c r="C815" s="35">
        <v>5240.0</v>
      </c>
      <c r="D815" s="35">
        <v>4947.0</v>
      </c>
    </row>
    <row r="816" ht="12.75" customHeight="1">
      <c r="A816" s="32" t="s">
        <v>155</v>
      </c>
      <c r="B816" s="34">
        <v>4.0</v>
      </c>
      <c r="C816" s="35">
        <v>5352.0</v>
      </c>
      <c r="D816" s="35">
        <v>5396.0</v>
      </c>
    </row>
    <row r="817" ht="12.75" customHeight="1">
      <c r="A817" s="32" t="s">
        <v>155</v>
      </c>
      <c r="B817" s="34">
        <v>5.0</v>
      </c>
      <c r="C817" s="35">
        <v>5846.0</v>
      </c>
      <c r="D817" s="35">
        <v>5635.0</v>
      </c>
    </row>
    <row r="818" ht="12.75" customHeight="1">
      <c r="A818" s="32" t="s">
        <v>155</v>
      </c>
      <c r="B818" s="34">
        <v>6.0</v>
      </c>
      <c r="C818" s="35">
        <v>6628.0</v>
      </c>
      <c r="D818" s="35">
        <v>6599.0</v>
      </c>
    </row>
    <row r="819" ht="12.75" customHeight="1">
      <c r="A819" s="32" t="s">
        <v>155</v>
      </c>
      <c r="B819" s="34">
        <v>7.0</v>
      </c>
      <c r="C819" s="35">
        <v>6980.0</v>
      </c>
      <c r="D819" s="35">
        <v>6852.0</v>
      </c>
    </row>
    <row r="820" ht="12.75" customHeight="1">
      <c r="A820" s="32" t="s">
        <v>155</v>
      </c>
      <c r="B820" s="34">
        <v>8.0</v>
      </c>
      <c r="C820" s="35">
        <v>7240.0</v>
      </c>
      <c r="D820" s="35">
        <v>7086.0</v>
      </c>
    </row>
    <row r="821" ht="12.75" customHeight="1">
      <c r="A821" s="32" t="s">
        <v>155</v>
      </c>
      <c r="B821" s="34">
        <v>9.0</v>
      </c>
      <c r="C821" s="35">
        <v>7119.0</v>
      </c>
      <c r="D821" s="35">
        <v>6867.0</v>
      </c>
    </row>
    <row r="822" ht="12.75" customHeight="1">
      <c r="A822" s="32" t="s">
        <v>155</v>
      </c>
      <c r="B822" s="34">
        <v>10.0</v>
      </c>
      <c r="C822" s="35">
        <v>7187.0</v>
      </c>
      <c r="D822" s="35">
        <v>6910.0</v>
      </c>
    </row>
    <row r="823" ht="12.75" customHeight="1">
      <c r="A823" s="32" t="s">
        <v>155</v>
      </c>
      <c r="B823" s="34">
        <v>11.0</v>
      </c>
      <c r="C823" s="35">
        <v>6972.0</v>
      </c>
      <c r="D823" s="35">
        <v>6370.0</v>
      </c>
    </row>
    <row r="824" ht="12.75" customHeight="1">
      <c r="A824" s="32" t="s">
        <v>155</v>
      </c>
      <c r="B824" s="34">
        <v>12.0</v>
      </c>
      <c r="C824" s="35">
        <v>7300.0</v>
      </c>
      <c r="D824" s="35">
        <v>6742.0</v>
      </c>
    </row>
    <row r="825" ht="12.75" customHeight="1">
      <c r="A825" s="32" t="s">
        <v>155</v>
      </c>
      <c r="B825" s="34">
        <v>13.0</v>
      </c>
      <c r="C825" s="35">
        <v>7133.0</v>
      </c>
      <c r="D825" s="35">
        <v>6662.0</v>
      </c>
    </row>
    <row r="826" ht="12.75" customHeight="1">
      <c r="A826" s="32" t="s">
        <v>155</v>
      </c>
      <c r="B826" s="34">
        <v>14.0</v>
      </c>
      <c r="C826" s="35">
        <v>6918.0</v>
      </c>
      <c r="D826" s="35">
        <v>6635.0</v>
      </c>
    </row>
    <row r="827" ht="12.75" customHeight="1">
      <c r="A827" s="32" t="s">
        <v>149</v>
      </c>
      <c r="B827" s="34" t="s">
        <v>395</v>
      </c>
      <c r="C827" s="35">
        <v>12841.0</v>
      </c>
      <c r="D827" s="35">
        <v>12040.0</v>
      </c>
    </row>
    <row r="828" ht="12.75" customHeight="1">
      <c r="A828" s="32" t="s">
        <v>149</v>
      </c>
      <c r="B828" s="34">
        <v>1.0</v>
      </c>
      <c r="C828" s="35">
        <v>14222.0</v>
      </c>
      <c r="D828" s="35">
        <v>13223.0</v>
      </c>
    </row>
    <row r="829" ht="12.75" customHeight="1">
      <c r="A829" s="32" t="s">
        <v>149</v>
      </c>
      <c r="B829" s="34">
        <v>2.0</v>
      </c>
      <c r="C829" s="35">
        <v>14261.0</v>
      </c>
      <c r="D829" s="35">
        <v>13581.0</v>
      </c>
    </row>
    <row r="830" ht="12.75" customHeight="1">
      <c r="A830" s="32" t="s">
        <v>149</v>
      </c>
      <c r="B830" s="34">
        <v>3.0</v>
      </c>
      <c r="C830" s="35">
        <v>15322.0</v>
      </c>
      <c r="D830" s="35">
        <v>14285.0</v>
      </c>
    </row>
    <row r="831" ht="12.75" customHeight="1">
      <c r="A831" s="32" t="s">
        <v>149</v>
      </c>
      <c r="B831" s="34">
        <v>4.0</v>
      </c>
      <c r="C831" s="35">
        <v>16805.0</v>
      </c>
      <c r="D831" s="35">
        <v>16183.0</v>
      </c>
    </row>
    <row r="832" ht="12.75" customHeight="1">
      <c r="A832" s="32" t="s">
        <v>149</v>
      </c>
      <c r="B832" s="34">
        <v>5.0</v>
      </c>
      <c r="C832" s="35">
        <v>17810.0</v>
      </c>
      <c r="D832" s="35">
        <v>16657.0</v>
      </c>
    </row>
    <row r="833" ht="12.75" customHeight="1">
      <c r="A833" s="32" t="s">
        <v>149</v>
      </c>
      <c r="B833" s="34">
        <v>6.0</v>
      </c>
      <c r="C833" s="35">
        <v>20480.0</v>
      </c>
      <c r="D833" s="35">
        <v>19480.0</v>
      </c>
    </row>
    <row r="834" ht="12.75" customHeight="1">
      <c r="A834" s="32" t="s">
        <v>149</v>
      </c>
      <c r="B834" s="34">
        <v>7.0</v>
      </c>
      <c r="C834" s="35">
        <v>21082.0</v>
      </c>
      <c r="D834" s="35">
        <v>19753.0</v>
      </c>
    </row>
    <row r="835" ht="12.75" customHeight="1">
      <c r="A835" s="32" t="s">
        <v>149</v>
      </c>
      <c r="B835" s="34">
        <v>8.0</v>
      </c>
      <c r="C835" s="35">
        <v>20592.0</v>
      </c>
      <c r="D835" s="35">
        <v>19549.0</v>
      </c>
    </row>
    <row r="836" ht="12.75" customHeight="1">
      <c r="A836" s="32" t="s">
        <v>149</v>
      </c>
      <c r="B836" s="34">
        <v>9.0</v>
      </c>
      <c r="C836" s="35">
        <v>20321.0</v>
      </c>
      <c r="D836" s="35">
        <v>19027.0</v>
      </c>
    </row>
    <row r="837" ht="12.75" customHeight="1">
      <c r="A837" s="32" t="s">
        <v>149</v>
      </c>
      <c r="B837" s="34">
        <v>10.0</v>
      </c>
      <c r="C837" s="35">
        <v>19770.0</v>
      </c>
      <c r="D837" s="35">
        <v>19026.0</v>
      </c>
    </row>
    <row r="838" ht="12.75" customHeight="1">
      <c r="A838" s="32" t="s">
        <v>149</v>
      </c>
      <c r="B838" s="34">
        <v>11.0</v>
      </c>
      <c r="C838" s="35">
        <v>18932.0</v>
      </c>
      <c r="D838" s="35">
        <v>17699.0</v>
      </c>
    </row>
    <row r="839" ht="12.75" customHeight="1">
      <c r="A839" s="32" t="s">
        <v>149</v>
      </c>
      <c r="B839" s="34">
        <v>12.0</v>
      </c>
      <c r="C839" s="35">
        <v>17620.0</v>
      </c>
      <c r="D839" s="35">
        <v>16663.0</v>
      </c>
    </row>
    <row r="840" ht="12.75" customHeight="1">
      <c r="A840" s="32" t="s">
        <v>149</v>
      </c>
      <c r="B840" s="34">
        <v>13.0</v>
      </c>
      <c r="C840" s="35">
        <v>17501.0</v>
      </c>
      <c r="D840" s="35">
        <v>16170.0</v>
      </c>
    </row>
    <row r="841" ht="12.75" customHeight="1">
      <c r="A841" s="32" t="s">
        <v>149</v>
      </c>
      <c r="B841" s="34">
        <v>14.0</v>
      </c>
      <c r="C841" s="35">
        <v>17584.0</v>
      </c>
      <c r="D841" s="35">
        <v>16628.0</v>
      </c>
    </row>
    <row r="842" ht="12.75" customHeight="1">
      <c r="A842" s="32" t="s">
        <v>161</v>
      </c>
      <c r="B842" s="34" t="s">
        <v>395</v>
      </c>
      <c r="C842" s="35">
        <v>8444.0</v>
      </c>
      <c r="D842" s="35">
        <v>7865.0</v>
      </c>
    </row>
    <row r="843" ht="12.75" customHeight="1">
      <c r="A843" s="32" t="s">
        <v>161</v>
      </c>
      <c r="B843" s="34">
        <v>1.0</v>
      </c>
      <c r="C843" s="35">
        <v>10144.0</v>
      </c>
      <c r="D843" s="35">
        <v>9371.0</v>
      </c>
    </row>
    <row r="844" ht="12.75" customHeight="1">
      <c r="A844" s="32" t="s">
        <v>161</v>
      </c>
      <c r="B844" s="34">
        <v>2.0</v>
      </c>
      <c r="C844" s="35">
        <v>9602.0</v>
      </c>
      <c r="D844" s="35">
        <v>9010.0</v>
      </c>
    </row>
    <row r="845" ht="12.75" customHeight="1">
      <c r="A845" s="32" t="s">
        <v>161</v>
      </c>
      <c r="B845" s="34">
        <v>3.0</v>
      </c>
      <c r="C845" s="35">
        <v>10288.0</v>
      </c>
      <c r="D845" s="35">
        <v>9717.0</v>
      </c>
    </row>
    <row r="846" ht="12.75" customHeight="1">
      <c r="A846" s="32" t="s">
        <v>161</v>
      </c>
      <c r="B846" s="34">
        <v>4.0</v>
      </c>
      <c r="C846" s="35">
        <v>11519.0</v>
      </c>
      <c r="D846" s="35">
        <v>10670.0</v>
      </c>
    </row>
    <row r="847" ht="12.75" customHeight="1">
      <c r="A847" s="32" t="s">
        <v>161</v>
      </c>
      <c r="B847" s="34">
        <v>5.0</v>
      </c>
      <c r="C847" s="35">
        <v>12077.0</v>
      </c>
      <c r="D847" s="35">
        <v>11195.0</v>
      </c>
    </row>
    <row r="848" ht="12.75" customHeight="1">
      <c r="A848" s="32" t="s">
        <v>161</v>
      </c>
      <c r="B848" s="34">
        <v>6.0</v>
      </c>
      <c r="C848" s="35">
        <v>13677.0</v>
      </c>
      <c r="D848" s="35">
        <v>12848.0</v>
      </c>
    </row>
    <row r="849" ht="12.75" customHeight="1">
      <c r="A849" s="32" t="s">
        <v>161</v>
      </c>
      <c r="B849" s="34">
        <v>7.0</v>
      </c>
      <c r="C849" s="35">
        <v>14424.0</v>
      </c>
      <c r="D849" s="35">
        <v>13499.0</v>
      </c>
    </row>
    <row r="850" ht="12.75" customHeight="1">
      <c r="A850" s="32" t="s">
        <v>161</v>
      </c>
      <c r="B850" s="34">
        <v>8.0</v>
      </c>
      <c r="C850" s="35">
        <v>14634.0</v>
      </c>
      <c r="D850" s="35">
        <v>13581.0</v>
      </c>
    </row>
    <row r="851" ht="12.75" customHeight="1">
      <c r="A851" s="32" t="s">
        <v>161</v>
      </c>
      <c r="B851" s="34">
        <v>9.0</v>
      </c>
      <c r="C851" s="35">
        <v>14538.0</v>
      </c>
      <c r="D851" s="35">
        <v>13559.0</v>
      </c>
    </row>
    <row r="852" ht="12.75" customHeight="1">
      <c r="A852" s="32" t="s">
        <v>161</v>
      </c>
      <c r="B852" s="34">
        <v>10.0</v>
      </c>
      <c r="C852" s="35">
        <v>14430.0</v>
      </c>
      <c r="D852" s="35">
        <v>13685.0</v>
      </c>
    </row>
    <row r="853" ht="12.75" customHeight="1">
      <c r="A853" s="32" t="s">
        <v>161</v>
      </c>
      <c r="B853" s="34">
        <v>11.0</v>
      </c>
      <c r="C853" s="35">
        <v>13611.0</v>
      </c>
      <c r="D853" s="35">
        <v>12856.0</v>
      </c>
    </row>
    <row r="854" ht="12.75" customHeight="1">
      <c r="A854" s="32" t="s">
        <v>161</v>
      </c>
      <c r="B854" s="34">
        <v>12.0</v>
      </c>
      <c r="C854" s="35">
        <v>13085.0</v>
      </c>
      <c r="D854" s="35">
        <v>12175.0</v>
      </c>
    </row>
    <row r="855" ht="12.75" customHeight="1">
      <c r="A855" s="32" t="s">
        <v>161</v>
      </c>
      <c r="B855" s="34">
        <v>13.0</v>
      </c>
      <c r="C855" s="35">
        <v>13252.0</v>
      </c>
      <c r="D855" s="35">
        <v>12616.0</v>
      </c>
    </row>
    <row r="856" ht="12.75" customHeight="1">
      <c r="A856" s="32" t="s">
        <v>161</v>
      </c>
      <c r="B856" s="34">
        <v>14.0</v>
      </c>
      <c r="C856" s="35">
        <v>13416.0</v>
      </c>
      <c r="D856" s="35">
        <v>12901.0</v>
      </c>
    </row>
    <row r="857" ht="12.75" customHeight="1">
      <c r="A857" s="32" t="s">
        <v>164</v>
      </c>
      <c r="B857" s="34" t="s">
        <v>395</v>
      </c>
      <c r="C857" s="35">
        <v>4644.0</v>
      </c>
      <c r="D857" s="35">
        <v>4339.0</v>
      </c>
    </row>
    <row r="858" ht="12.75" customHeight="1">
      <c r="A858" s="32" t="s">
        <v>164</v>
      </c>
      <c r="B858" s="34">
        <v>1.0</v>
      </c>
      <c r="C858" s="35">
        <v>5157.0</v>
      </c>
      <c r="D858" s="35">
        <v>4802.0</v>
      </c>
    </row>
    <row r="859" ht="12.75" customHeight="1">
      <c r="A859" s="32" t="s">
        <v>164</v>
      </c>
      <c r="B859" s="34">
        <v>2.0</v>
      </c>
      <c r="C859" s="35">
        <v>5241.0</v>
      </c>
      <c r="D859" s="35">
        <v>4999.0</v>
      </c>
    </row>
    <row r="860" ht="12.75" customHeight="1">
      <c r="A860" s="32" t="s">
        <v>164</v>
      </c>
      <c r="B860" s="34">
        <v>3.0</v>
      </c>
      <c r="C860" s="35">
        <v>5528.0</v>
      </c>
      <c r="D860" s="35">
        <v>5225.0</v>
      </c>
    </row>
    <row r="861" ht="12.75" customHeight="1">
      <c r="A861" s="32" t="s">
        <v>164</v>
      </c>
      <c r="B861" s="34">
        <v>4.0</v>
      </c>
      <c r="C861" s="35">
        <v>6108.0</v>
      </c>
      <c r="D861" s="35">
        <v>5688.0</v>
      </c>
    </row>
    <row r="862" ht="12.75" customHeight="1">
      <c r="A862" s="32" t="s">
        <v>164</v>
      </c>
      <c r="B862" s="34">
        <v>5.0</v>
      </c>
      <c r="C862" s="35">
        <v>6327.0</v>
      </c>
      <c r="D862" s="35">
        <v>6005.0</v>
      </c>
    </row>
    <row r="863" ht="12.75" customHeight="1">
      <c r="A863" s="32" t="s">
        <v>164</v>
      </c>
      <c r="B863" s="34">
        <v>6.0</v>
      </c>
      <c r="C863" s="35">
        <v>7366.0</v>
      </c>
      <c r="D863" s="35">
        <v>6902.0</v>
      </c>
    </row>
    <row r="864" ht="12.75" customHeight="1">
      <c r="A864" s="32" t="s">
        <v>164</v>
      </c>
      <c r="B864" s="34">
        <v>7.0</v>
      </c>
      <c r="C864" s="35">
        <v>7516.0</v>
      </c>
      <c r="D864" s="35">
        <v>7133.0</v>
      </c>
    </row>
    <row r="865" ht="12.75" customHeight="1">
      <c r="A865" s="32" t="s">
        <v>164</v>
      </c>
      <c r="B865" s="34">
        <v>8.0</v>
      </c>
      <c r="C865" s="35">
        <v>7562.0</v>
      </c>
      <c r="D865" s="35">
        <v>7102.0</v>
      </c>
    </row>
    <row r="866" ht="12.75" customHeight="1">
      <c r="A866" s="32" t="s">
        <v>164</v>
      </c>
      <c r="B866" s="34">
        <v>9.0</v>
      </c>
      <c r="C866" s="35">
        <v>7460.0</v>
      </c>
      <c r="D866" s="35">
        <v>7070.0</v>
      </c>
    </row>
    <row r="867" ht="12.75" customHeight="1">
      <c r="A867" s="32" t="s">
        <v>164</v>
      </c>
      <c r="B867" s="34">
        <v>10.0</v>
      </c>
      <c r="C867" s="35">
        <v>7326.0</v>
      </c>
      <c r="D867" s="35">
        <v>7168.0</v>
      </c>
    </row>
    <row r="868" ht="12.75" customHeight="1">
      <c r="A868" s="32" t="s">
        <v>164</v>
      </c>
      <c r="B868" s="34">
        <v>11.0</v>
      </c>
      <c r="C868" s="35">
        <v>7015.0</v>
      </c>
      <c r="D868" s="35">
        <v>6515.0</v>
      </c>
    </row>
    <row r="869" ht="12.75" customHeight="1">
      <c r="A869" s="32" t="s">
        <v>164</v>
      </c>
      <c r="B869" s="34">
        <v>12.0</v>
      </c>
      <c r="C869" s="35">
        <v>6633.0</v>
      </c>
      <c r="D869" s="35">
        <v>6117.0</v>
      </c>
    </row>
    <row r="870" ht="12.75" customHeight="1">
      <c r="A870" s="32" t="s">
        <v>164</v>
      </c>
      <c r="B870" s="34">
        <v>13.0</v>
      </c>
      <c r="C870" s="35">
        <v>6505.0</v>
      </c>
      <c r="D870" s="35">
        <v>6208.0</v>
      </c>
    </row>
    <row r="871" ht="12.75" customHeight="1">
      <c r="A871" s="32" t="s">
        <v>164</v>
      </c>
      <c r="B871" s="34">
        <v>14.0</v>
      </c>
      <c r="C871" s="35">
        <v>6563.0</v>
      </c>
      <c r="D871" s="35">
        <v>6200.0</v>
      </c>
    </row>
    <row r="872" ht="12.75" customHeight="1">
      <c r="A872" s="32" t="s">
        <v>191</v>
      </c>
      <c r="B872" s="34" t="s">
        <v>395</v>
      </c>
      <c r="C872" s="35">
        <v>3172.0</v>
      </c>
      <c r="D872" s="35">
        <v>3119.0</v>
      </c>
    </row>
    <row r="873" ht="12.75" customHeight="1">
      <c r="A873" s="32" t="s">
        <v>191</v>
      </c>
      <c r="B873" s="34">
        <v>1.0</v>
      </c>
      <c r="C873" s="35">
        <v>3731.0</v>
      </c>
      <c r="D873" s="35">
        <v>3443.0</v>
      </c>
    </row>
    <row r="874" ht="12.75" customHeight="1">
      <c r="A874" s="32" t="s">
        <v>191</v>
      </c>
      <c r="B874" s="34">
        <v>2.0</v>
      </c>
      <c r="C874" s="35">
        <v>3838.0</v>
      </c>
      <c r="D874" s="35">
        <v>3518.0</v>
      </c>
    </row>
    <row r="875" ht="12.75" customHeight="1">
      <c r="A875" s="32" t="s">
        <v>191</v>
      </c>
      <c r="B875" s="34">
        <v>3.0</v>
      </c>
      <c r="C875" s="35">
        <v>3943.0</v>
      </c>
      <c r="D875" s="35">
        <v>3610.0</v>
      </c>
    </row>
    <row r="876" ht="12.75" customHeight="1">
      <c r="A876" s="32" t="s">
        <v>191</v>
      </c>
      <c r="B876" s="34">
        <v>4.0</v>
      </c>
      <c r="C876" s="35">
        <v>4404.0</v>
      </c>
      <c r="D876" s="35">
        <v>4029.0</v>
      </c>
    </row>
    <row r="877" ht="12.75" customHeight="1">
      <c r="A877" s="32" t="s">
        <v>191</v>
      </c>
      <c r="B877" s="34">
        <v>5.0</v>
      </c>
      <c r="C877" s="35">
        <v>4648.0</v>
      </c>
      <c r="D877" s="35">
        <v>4544.0</v>
      </c>
    </row>
    <row r="878" ht="12.75" customHeight="1">
      <c r="A878" s="32" t="s">
        <v>191</v>
      </c>
      <c r="B878" s="34">
        <v>6.0</v>
      </c>
      <c r="C878" s="35">
        <v>5212.0</v>
      </c>
      <c r="D878" s="35">
        <v>4996.0</v>
      </c>
    </row>
    <row r="879" ht="12.75" customHeight="1">
      <c r="A879" s="32" t="s">
        <v>191</v>
      </c>
      <c r="B879" s="34">
        <v>7.0</v>
      </c>
      <c r="C879" s="35">
        <v>5535.0</v>
      </c>
      <c r="D879" s="35">
        <v>5418.0</v>
      </c>
    </row>
    <row r="880" ht="12.75" customHeight="1">
      <c r="A880" s="32" t="s">
        <v>191</v>
      </c>
      <c r="B880" s="34">
        <v>8.0</v>
      </c>
      <c r="C880" s="35">
        <v>5712.0</v>
      </c>
      <c r="D880" s="35">
        <v>5438.0</v>
      </c>
    </row>
    <row r="881" ht="12.75" customHeight="1">
      <c r="A881" s="32" t="s">
        <v>191</v>
      </c>
      <c r="B881" s="34">
        <v>9.0</v>
      </c>
      <c r="C881" s="35">
        <v>5889.0</v>
      </c>
      <c r="D881" s="35">
        <v>5721.0</v>
      </c>
    </row>
    <row r="882" ht="12.75" customHeight="1">
      <c r="A882" s="32" t="s">
        <v>191</v>
      </c>
      <c r="B882" s="34">
        <v>10.0</v>
      </c>
      <c r="C882" s="35">
        <v>6022.0</v>
      </c>
      <c r="D882" s="35">
        <v>5546.0</v>
      </c>
    </row>
    <row r="883" ht="12.75" customHeight="1">
      <c r="A883" s="32" t="s">
        <v>191</v>
      </c>
      <c r="B883" s="34">
        <v>11.0</v>
      </c>
      <c r="C883" s="35">
        <v>5535.0</v>
      </c>
      <c r="D883" s="35">
        <v>5158.0</v>
      </c>
    </row>
    <row r="884" ht="12.75" customHeight="1">
      <c r="A884" s="32" t="s">
        <v>191</v>
      </c>
      <c r="B884" s="34">
        <v>12.0</v>
      </c>
      <c r="C884" s="35">
        <v>4863.0</v>
      </c>
      <c r="D884" s="35">
        <v>4546.0</v>
      </c>
    </row>
    <row r="885" ht="12.75" customHeight="1">
      <c r="A885" s="32" t="s">
        <v>191</v>
      </c>
      <c r="B885" s="34">
        <v>13.0</v>
      </c>
      <c r="C885" s="35">
        <v>4748.0</v>
      </c>
      <c r="D885" s="35">
        <v>4425.0</v>
      </c>
    </row>
    <row r="886" ht="12.75" customHeight="1">
      <c r="A886" s="32" t="s">
        <v>191</v>
      </c>
      <c r="B886" s="34">
        <v>14.0</v>
      </c>
      <c r="C886" s="35">
        <v>5413.0</v>
      </c>
      <c r="D886" s="35">
        <v>5027.0</v>
      </c>
    </row>
    <row r="887" ht="12.75" customHeight="1">
      <c r="A887" s="32" t="s">
        <v>194</v>
      </c>
      <c r="B887" s="34" t="s">
        <v>395</v>
      </c>
      <c r="C887" s="35">
        <v>20463.0</v>
      </c>
      <c r="D887" s="35">
        <v>19248.0</v>
      </c>
    </row>
    <row r="888" ht="12.75" customHeight="1">
      <c r="A888" s="32" t="s">
        <v>194</v>
      </c>
      <c r="B888" s="34">
        <v>1.0</v>
      </c>
      <c r="C888" s="35">
        <v>21958.0</v>
      </c>
      <c r="D888" s="35">
        <v>20889.0</v>
      </c>
    </row>
    <row r="889" ht="12.75" customHeight="1">
      <c r="A889" s="32" t="s">
        <v>194</v>
      </c>
      <c r="B889" s="34">
        <v>2.0</v>
      </c>
      <c r="C889" s="35">
        <v>22286.0</v>
      </c>
      <c r="D889" s="35">
        <v>21416.0</v>
      </c>
    </row>
    <row r="890" ht="12.75" customHeight="1">
      <c r="A890" s="32" t="s">
        <v>194</v>
      </c>
      <c r="B890" s="34">
        <v>3.0</v>
      </c>
      <c r="C890" s="35">
        <v>23583.0</v>
      </c>
      <c r="D890" s="35">
        <v>22341.0</v>
      </c>
    </row>
    <row r="891" ht="12.75" customHeight="1">
      <c r="A891" s="32" t="s">
        <v>194</v>
      </c>
      <c r="B891" s="34">
        <v>4.0</v>
      </c>
      <c r="C891" s="35">
        <v>26022.0</v>
      </c>
      <c r="D891" s="35">
        <v>24024.0</v>
      </c>
    </row>
    <row r="892" ht="12.75" customHeight="1">
      <c r="A892" s="32" t="s">
        <v>194</v>
      </c>
      <c r="B892" s="34">
        <v>5.0</v>
      </c>
      <c r="C892" s="35">
        <v>27132.0</v>
      </c>
      <c r="D892" s="35">
        <v>25917.0</v>
      </c>
    </row>
    <row r="893" ht="12.75" customHeight="1">
      <c r="A893" s="32" t="s">
        <v>194</v>
      </c>
      <c r="B893" s="34">
        <v>6.0</v>
      </c>
      <c r="C893" s="35">
        <v>30594.0</v>
      </c>
      <c r="D893" s="35">
        <v>28818.0</v>
      </c>
    </row>
    <row r="894" ht="12.75" customHeight="1">
      <c r="A894" s="32" t="s">
        <v>194</v>
      </c>
      <c r="B894" s="34">
        <v>7.0</v>
      </c>
      <c r="C894" s="35">
        <v>31622.0</v>
      </c>
      <c r="D894" s="35">
        <v>29950.0</v>
      </c>
    </row>
    <row r="895" ht="12.75" customHeight="1">
      <c r="A895" s="32" t="s">
        <v>194</v>
      </c>
      <c r="B895" s="34">
        <v>8.0</v>
      </c>
      <c r="C895" s="35">
        <v>32119.0</v>
      </c>
      <c r="D895" s="35">
        <v>30147.0</v>
      </c>
    </row>
    <row r="896" ht="12.75" customHeight="1">
      <c r="A896" s="32" t="s">
        <v>194</v>
      </c>
      <c r="B896" s="34">
        <v>9.0</v>
      </c>
      <c r="C896" s="35">
        <v>31379.0</v>
      </c>
      <c r="D896" s="35">
        <v>30137.0</v>
      </c>
    </row>
    <row r="897" ht="12.75" customHeight="1">
      <c r="A897" s="32" t="s">
        <v>194</v>
      </c>
      <c r="B897" s="34">
        <v>10.0</v>
      </c>
      <c r="C897" s="35">
        <v>31223.0</v>
      </c>
      <c r="D897" s="35">
        <v>29814.0</v>
      </c>
    </row>
    <row r="898" ht="12.75" customHeight="1">
      <c r="A898" s="32" t="s">
        <v>194</v>
      </c>
      <c r="B898" s="34">
        <v>11.0</v>
      </c>
      <c r="C898" s="35">
        <v>29533.0</v>
      </c>
      <c r="D898" s="35">
        <v>27926.0</v>
      </c>
    </row>
    <row r="899" ht="12.75" customHeight="1">
      <c r="A899" s="32" t="s">
        <v>194</v>
      </c>
      <c r="B899" s="34">
        <v>12.0</v>
      </c>
      <c r="C899" s="35">
        <v>26330.0</v>
      </c>
      <c r="D899" s="35">
        <v>24907.0</v>
      </c>
    </row>
    <row r="900" ht="12.75" customHeight="1">
      <c r="A900" s="32" t="s">
        <v>194</v>
      </c>
      <c r="B900" s="34">
        <v>13.0</v>
      </c>
      <c r="C900" s="35">
        <v>25148.0</v>
      </c>
      <c r="D900" s="35">
        <v>23571.0</v>
      </c>
    </row>
    <row r="901" ht="12.75" customHeight="1">
      <c r="A901" s="32" t="s">
        <v>194</v>
      </c>
      <c r="B901" s="34">
        <v>14.0</v>
      </c>
      <c r="C901" s="35">
        <v>25962.0</v>
      </c>
      <c r="D901" s="35">
        <v>24978.0</v>
      </c>
    </row>
    <row r="902" ht="12.75" customHeight="1">
      <c r="A902" s="32" t="s">
        <v>185</v>
      </c>
      <c r="B902" s="34" t="s">
        <v>395</v>
      </c>
      <c r="C902" s="35">
        <v>9833.0</v>
      </c>
      <c r="D902" s="35">
        <v>9221.0</v>
      </c>
    </row>
    <row r="903" ht="12.75" customHeight="1">
      <c r="A903" s="32" t="s">
        <v>185</v>
      </c>
      <c r="B903" s="34">
        <v>1.0</v>
      </c>
      <c r="C903" s="35">
        <v>10132.0</v>
      </c>
      <c r="D903" s="35">
        <v>9712.0</v>
      </c>
    </row>
    <row r="904" ht="12.75" customHeight="1">
      <c r="A904" s="32" t="s">
        <v>185</v>
      </c>
      <c r="B904" s="34">
        <v>2.0</v>
      </c>
      <c r="C904" s="35">
        <v>10695.0</v>
      </c>
      <c r="D904" s="35">
        <v>10238.0</v>
      </c>
    </row>
    <row r="905" ht="12.75" customHeight="1">
      <c r="A905" s="32" t="s">
        <v>185</v>
      </c>
      <c r="B905" s="34">
        <v>3.0</v>
      </c>
      <c r="C905" s="35">
        <v>10872.0</v>
      </c>
      <c r="D905" s="35">
        <v>10275.0</v>
      </c>
    </row>
    <row r="906" ht="12.75" customHeight="1">
      <c r="A906" s="32" t="s">
        <v>185</v>
      </c>
      <c r="B906" s="34">
        <v>4.0</v>
      </c>
      <c r="C906" s="35">
        <v>11933.0</v>
      </c>
      <c r="D906" s="35">
        <v>11001.0</v>
      </c>
    </row>
    <row r="907" ht="12.75" customHeight="1">
      <c r="A907" s="32" t="s">
        <v>185</v>
      </c>
      <c r="B907" s="34">
        <v>5.0</v>
      </c>
      <c r="C907" s="35">
        <v>12091.0</v>
      </c>
      <c r="D907" s="35">
        <v>11635.0</v>
      </c>
    </row>
    <row r="908" ht="12.75" customHeight="1">
      <c r="A908" s="32" t="s">
        <v>185</v>
      </c>
      <c r="B908" s="34">
        <v>6.0</v>
      </c>
      <c r="C908" s="35">
        <v>13612.0</v>
      </c>
      <c r="D908" s="35">
        <v>12635.0</v>
      </c>
    </row>
    <row r="909" ht="12.75" customHeight="1">
      <c r="A909" s="32" t="s">
        <v>185</v>
      </c>
      <c r="B909" s="34">
        <v>7.0</v>
      </c>
      <c r="C909" s="35">
        <v>14050.0</v>
      </c>
      <c r="D909" s="35">
        <v>13582.0</v>
      </c>
    </row>
    <row r="910" ht="12.75" customHeight="1">
      <c r="A910" s="32" t="s">
        <v>185</v>
      </c>
      <c r="B910" s="34">
        <v>8.0</v>
      </c>
      <c r="C910" s="35">
        <v>14604.0</v>
      </c>
      <c r="D910" s="35">
        <v>13776.0</v>
      </c>
    </row>
    <row r="911" ht="12.75" customHeight="1">
      <c r="A911" s="32" t="s">
        <v>185</v>
      </c>
      <c r="B911" s="34">
        <v>9.0</v>
      </c>
      <c r="C911" s="35">
        <v>14691.0</v>
      </c>
      <c r="D911" s="35">
        <v>13771.0</v>
      </c>
    </row>
    <row r="912" ht="12.75" customHeight="1">
      <c r="A912" s="32" t="s">
        <v>185</v>
      </c>
      <c r="B912" s="34">
        <v>10.0</v>
      </c>
      <c r="C912" s="35">
        <v>14742.0</v>
      </c>
      <c r="D912" s="35">
        <v>13999.0</v>
      </c>
    </row>
    <row r="913" ht="12.75" customHeight="1">
      <c r="A913" s="32" t="s">
        <v>185</v>
      </c>
      <c r="B913" s="34">
        <v>11.0</v>
      </c>
      <c r="C913" s="35">
        <v>13676.0</v>
      </c>
      <c r="D913" s="35">
        <v>12894.0</v>
      </c>
    </row>
    <row r="914" ht="12.75" customHeight="1">
      <c r="A914" s="32" t="s">
        <v>185</v>
      </c>
      <c r="B914" s="34">
        <v>12.0</v>
      </c>
      <c r="C914" s="35">
        <v>12944.0</v>
      </c>
      <c r="D914" s="35">
        <v>12731.0</v>
      </c>
    </row>
    <row r="915" ht="12.75" customHeight="1">
      <c r="A915" s="32" t="s">
        <v>185</v>
      </c>
      <c r="B915" s="34">
        <v>13.0</v>
      </c>
      <c r="C915" s="35">
        <v>12650.0</v>
      </c>
      <c r="D915" s="35">
        <v>12074.0</v>
      </c>
    </row>
    <row r="916" ht="12.75" customHeight="1">
      <c r="A916" s="32" t="s">
        <v>185</v>
      </c>
      <c r="B916" s="34">
        <v>14.0</v>
      </c>
      <c r="C916" s="35">
        <v>12374.0</v>
      </c>
      <c r="D916" s="35">
        <v>11613.0</v>
      </c>
    </row>
    <row r="917" ht="12.75" customHeight="1">
      <c r="A917" s="32" t="s">
        <v>188</v>
      </c>
      <c r="B917" s="34" t="s">
        <v>395</v>
      </c>
      <c r="C917" s="35">
        <v>3434.0</v>
      </c>
      <c r="D917" s="35">
        <v>3344.0</v>
      </c>
    </row>
    <row r="918" ht="12.75" customHeight="1">
      <c r="A918" s="32" t="s">
        <v>188</v>
      </c>
      <c r="B918" s="34">
        <v>1.0</v>
      </c>
      <c r="C918" s="35">
        <v>3714.0</v>
      </c>
      <c r="D918" s="35">
        <v>3610.0</v>
      </c>
    </row>
    <row r="919" ht="12.75" customHeight="1">
      <c r="A919" s="32" t="s">
        <v>188</v>
      </c>
      <c r="B919" s="34">
        <v>2.0</v>
      </c>
      <c r="C919" s="35">
        <v>3134.0</v>
      </c>
      <c r="D919" s="35">
        <v>3099.0</v>
      </c>
    </row>
    <row r="920" ht="12.75" customHeight="1">
      <c r="A920" s="32" t="s">
        <v>188</v>
      </c>
      <c r="B920" s="34">
        <v>3.0</v>
      </c>
      <c r="C920" s="35">
        <v>3248.0</v>
      </c>
      <c r="D920" s="35">
        <v>3154.0</v>
      </c>
    </row>
    <row r="921" ht="12.75" customHeight="1">
      <c r="A921" s="32" t="s">
        <v>188</v>
      </c>
      <c r="B921" s="34">
        <v>4.0</v>
      </c>
      <c r="C921" s="35">
        <v>3515.0</v>
      </c>
      <c r="D921" s="35">
        <v>3354.0</v>
      </c>
    </row>
    <row r="922" ht="12.75" customHeight="1">
      <c r="A922" s="32" t="s">
        <v>188</v>
      </c>
      <c r="B922" s="34">
        <v>5.0</v>
      </c>
      <c r="C922" s="35">
        <v>3618.0</v>
      </c>
      <c r="D922" s="35">
        <v>3387.0</v>
      </c>
    </row>
    <row r="923" ht="12.75" customHeight="1">
      <c r="A923" s="32" t="s">
        <v>188</v>
      </c>
      <c r="B923" s="34">
        <v>6.0</v>
      </c>
      <c r="C923" s="35">
        <v>4020.0</v>
      </c>
      <c r="D923" s="35">
        <v>3729.0</v>
      </c>
    </row>
    <row r="924" ht="12.75" customHeight="1">
      <c r="A924" s="32" t="s">
        <v>188</v>
      </c>
      <c r="B924" s="34">
        <v>7.0</v>
      </c>
      <c r="C924" s="35">
        <v>4212.0</v>
      </c>
      <c r="D924" s="35">
        <v>4090.0</v>
      </c>
    </row>
    <row r="925" ht="12.75" customHeight="1">
      <c r="A925" s="32" t="s">
        <v>188</v>
      </c>
      <c r="B925" s="34">
        <v>8.0</v>
      </c>
      <c r="C925" s="35">
        <v>4136.0</v>
      </c>
      <c r="D925" s="35">
        <v>3906.0</v>
      </c>
    </row>
    <row r="926" ht="12.75" customHeight="1">
      <c r="A926" s="32" t="s">
        <v>188</v>
      </c>
      <c r="B926" s="34">
        <v>9.0</v>
      </c>
      <c r="C926" s="35">
        <v>4023.0</v>
      </c>
      <c r="D926" s="35">
        <v>3975.0</v>
      </c>
    </row>
    <row r="927" ht="12.75" customHeight="1">
      <c r="A927" s="32" t="s">
        <v>188</v>
      </c>
      <c r="B927" s="34">
        <v>10.0</v>
      </c>
      <c r="C927" s="35">
        <v>4336.0</v>
      </c>
      <c r="D927" s="35">
        <v>3927.0</v>
      </c>
    </row>
    <row r="928" ht="12.75" customHeight="1">
      <c r="A928" s="32" t="s">
        <v>188</v>
      </c>
      <c r="B928" s="34">
        <v>11.0</v>
      </c>
      <c r="C928" s="35">
        <v>3945.0</v>
      </c>
      <c r="D928" s="35">
        <v>3771.0</v>
      </c>
    </row>
    <row r="929" ht="12.75" customHeight="1">
      <c r="A929" s="32" t="s">
        <v>188</v>
      </c>
      <c r="B929" s="34">
        <v>12.0</v>
      </c>
      <c r="C929" s="35">
        <v>4076.0</v>
      </c>
      <c r="D929" s="35">
        <v>3850.0</v>
      </c>
    </row>
    <row r="930" ht="12.75" customHeight="1">
      <c r="A930" s="32" t="s">
        <v>188</v>
      </c>
      <c r="B930" s="34">
        <v>13.0</v>
      </c>
      <c r="C930" s="35">
        <v>3983.0</v>
      </c>
      <c r="D930" s="35">
        <v>3906.0</v>
      </c>
    </row>
    <row r="931" ht="12.75" customHeight="1">
      <c r="A931" s="32" t="s">
        <v>188</v>
      </c>
      <c r="B931" s="34">
        <v>14.0</v>
      </c>
      <c r="C931" s="35">
        <v>3788.0</v>
      </c>
      <c r="D931" s="35">
        <v>3614.0</v>
      </c>
    </row>
    <row r="932" ht="12.75" customHeight="1">
      <c r="A932" s="32" t="s">
        <v>197</v>
      </c>
      <c r="B932" s="34" t="s">
        <v>395</v>
      </c>
      <c r="C932" s="35">
        <v>9049.0</v>
      </c>
      <c r="D932" s="35">
        <v>8676.0</v>
      </c>
    </row>
    <row r="933" ht="12.75" customHeight="1">
      <c r="A933" s="32" t="s">
        <v>197</v>
      </c>
      <c r="B933" s="34">
        <v>1.0</v>
      </c>
      <c r="C933" s="35">
        <v>9521.0</v>
      </c>
      <c r="D933" s="35">
        <v>9022.0</v>
      </c>
    </row>
    <row r="934" ht="12.75" customHeight="1">
      <c r="A934" s="32" t="s">
        <v>197</v>
      </c>
      <c r="B934" s="34">
        <v>2.0</v>
      </c>
      <c r="C934" s="35">
        <v>9764.0</v>
      </c>
      <c r="D934" s="35">
        <v>9275.0</v>
      </c>
    </row>
    <row r="935" ht="12.75" customHeight="1">
      <c r="A935" s="32" t="s">
        <v>197</v>
      </c>
      <c r="B935" s="34">
        <v>3.0</v>
      </c>
      <c r="C935" s="35">
        <v>10012.0</v>
      </c>
      <c r="D935" s="35">
        <v>9437.0</v>
      </c>
    </row>
    <row r="936" ht="12.75" customHeight="1">
      <c r="A936" s="32" t="s">
        <v>197</v>
      </c>
      <c r="B936" s="34">
        <v>4.0</v>
      </c>
      <c r="C936" s="35">
        <v>10884.0</v>
      </c>
      <c r="D936" s="35">
        <v>10464.0</v>
      </c>
    </row>
    <row r="937" ht="12.75" customHeight="1">
      <c r="A937" s="32" t="s">
        <v>197</v>
      </c>
      <c r="B937" s="34">
        <v>5.0</v>
      </c>
      <c r="C937" s="35">
        <v>11431.0</v>
      </c>
      <c r="D937" s="35">
        <v>10891.0</v>
      </c>
    </row>
    <row r="938" ht="12.75" customHeight="1">
      <c r="A938" s="32" t="s">
        <v>197</v>
      </c>
      <c r="B938" s="34">
        <v>6.0</v>
      </c>
      <c r="C938" s="35">
        <v>12323.0</v>
      </c>
      <c r="D938" s="35">
        <v>11600.0</v>
      </c>
    </row>
    <row r="939" ht="12.75" customHeight="1">
      <c r="A939" s="32" t="s">
        <v>197</v>
      </c>
      <c r="B939" s="34">
        <v>7.0</v>
      </c>
      <c r="C939" s="35">
        <v>12715.0</v>
      </c>
      <c r="D939" s="35">
        <v>12317.0</v>
      </c>
    </row>
    <row r="940" ht="12.75" customHeight="1">
      <c r="A940" s="32" t="s">
        <v>197</v>
      </c>
      <c r="B940" s="34">
        <v>8.0</v>
      </c>
      <c r="C940" s="35">
        <v>13005.0</v>
      </c>
      <c r="D940" s="35">
        <v>12067.0</v>
      </c>
    </row>
    <row r="941" ht="12.75" customHeight="1">
      <c r="A941" s="32" t="s">
        <v>197</v>
      </c>
      <c r="B941" s="34">
        <v>9.0</v>
      </c>
      <c r="C941" s="35">
        <v>12363.0</v>
      </c>
      <c r="D941" s="35">
        <v>11787.0</v>
      </c>
    </row>
    <row r="942" ht="12.75" customHeight="1">
      <c r="A942" s="32" t="s">
        <v>197</v>
      </c>
      <c r="B942" s="34">
        <v>10.0</v>
      </c>
      <c r="C942" s="35">
        <v>12356.0</v>
      </c>
      <c r="D942" s="35">
        <v>11800.0</v>
      </c>
    </row>
    <row r="943" ht="12.75" customHeight="1">
      <c r="A943" s="32" t="s">
        <v>197</v>
      </c>
      <c r="B943" s="34">
        <v>11.0</v>
      </c>
      <c r="C943" s="35">
        <v>11734.0</v>
      </c>
      <c r="D943" s="35">
        <v>11117.0</v>
      </c>
    </row>
    <row r="944" ht="12.75" customHeight="1">
      <c r="A944" s="32" t="s">
        <v>197</v>
      </c>
      <c r="B944" s="34">
        <v>12.0</v>
      </c>
      <c r="C944" s="35">
        <v>11372.0</v>
      </c>
      <c r="D944" s="35">
        <v>11151.0</v>
      </c>
    </row>
    <row r="945" ht="12.75" customHeight="1">
      <c r="A945" s="32" t="s">
        <v>197</v>
      </c>
      <c r="B945" s="34">
        <v>13.0</v>
      </c>
      <c r="C945" s="35">
        <v>11243.0</v>
      </c>
      <c r="D945" s="35">
        <v>10821.0</v>
      </c>
    </row>
    <row r="946" ht="12.75" customHeight="1">
      <c r="A946" s="32" t="s">
        <v>197</v>
      </c>
      <c r="B946" s="34">
        <v>14.0</v>
      </c>
      <c r="C946" s="35">
        <v>10793.0</v>
      </c>
      <c r="D946" s="35">
        <v>10415.0</v>
      </c>
    </row>
    <row r="947" ht="12.75" customHeight="1">
      <c r="A947" s="32" t="s">
        <v>200</v>
      </c>
      <c r="B947" s="34" t="s">
        <v>395</v>
      </c>
      <c r="C947" s="35">
        <v>15671.0</v>
      </c>
      <c r="D947" s="35">
        <v>15194.0</v>
      </c>
    </row>
    <row r="948" ht="12.75" customHeight="1">
      <c r="A948" s="32" t="s">
        <v>200</v>
      </c>
      <c r="B948" s="34">
        <v>1.0</v>
      </c>
      <c r="C948" s="35">
        <v>17090.0</v>
      </c>
      <c r="D948" s="35">
        <v>16324.0</v>
      </c>
    </row>
    <row r="949" ht="12.75" customHeight="1">
      <c r="A949" s="32" t="s">
        <v>200</v>
      </c>
      <c r="B949" s="34">
        <v>2.0</v>
      </c>
      <c r="C949" s="35">
        <v>17121.0</v>
      </c>
      <c r="D949" s="35">
        <v>15992.0</v>
      </c>
    </row>
    <row r="950" ht="12.75" customHeight="1">
      <c r="A950" s="32" t="s">
        <v>200</v>
      </c>
      <c r="B950" s="34">
        <v>3.0</v>
      </c>
      <c r="C950" s="35">
        <v>17438.0</v>
      </c>
      <c r="D950" s="35">
        <v>16723.0</v>
      </c>
    </row>
    <row r="951" ht="12.75" customHeight="1">
      <c r="A951" s="32" t="s">
        <v>200</v>
      </c>
      <c r="B951" s="34">
        <v>4.0</v>
      </c>
      <c r="C951" s="35">
        <v>19287.0</v>
      </c>
      <c r="D951" s="35">
        <v>18278.0</v>
      </c>
    </row>
    <row r="952" ht="12.75" customHeight="1">
      <c r="A952" s="32" t="s">
        <v>200</v>
      </c>
      <c r="B952" s="34">
        <v>5.0</v>
      </c>
      <c r="C952" s="35">
        <v>20398.0</v>
      </c>
      <c r="D952" s="35">
        <v>19558.0</v>
      </c>
    </row>
    <row r="953" ht="12.75" customHeight="1">
      <c r="A953" s="32" t="s">
        <v>200</v>
      </c>
      <c r="B953" s="34">
        <v>6.0</v>
      </c>
      <c r="C953" s="35">
        <v>23635.0</v>
      </c>
      <c r="D953" s="35">
        <v>22529.0</v>
      </c>
    </row>
    <row r="954" ht="12.75" customHeight="1">
      <c r="A954" s="32" t="s">
        <v>200</v>
      </c>
      <c r="B954" s="34">
        <v>7.0</v>
      </c>
      <c r="C954" s="35">
        <v>24681.0</v>
      </c>
      <c r="D954" s="35">
        <v>23387.0</v>
      </c>
    </row>
    <row r="955" ht="12.75" customHeight="1">
      <c r="A955" s="32" t="s">
        <v>200</v>
      </c>
      <c r="B955" s="34">
        <v>8.0</v>
      </c>
      <c r="C955" s="35">
        <v>25245.0</v>
      </c>
      <c r="D955" s="35">
        <v>23811.0</v>
      </c>
    </row>
    <row r="956" ht="12.75" customHeight="1">
      <c r="A956" s="32" t="s">
        <v>200</v>
      </c>
      <c r="B956" s="34">
        <v>9.0</v>
      </c>
      <c r="C956" s="35">
        <v>24892.0</v>
      </c>
      <c r="D956" s="35">
        <v>23712.0</v>
      </c>
    </row>
    <row r="957" ht="12.75" customHeight="1">
      <c r="A957" s="32" t="s">
        <v>200</v>
      </c>
      <c r="B957" s="34">
        <v>10.0</v>
      </c>
      <c r="C957" s="35">
        <v>25315.0</v>
      </c>
      <c r="D957" s="35">
        <v>24120.0</v>
      </c>
    </row>
    <row r="958" ht="12.75" customHeight="1">
      <c r="A958" s="32" t="s">
        <v>200</v>
      </c>
      <c r="B958" s="34">
        <v>11.0</v>
      </c>
      <c r="C958" s="35">
        <v>24040.0</v>
      </c>
      <c r="D958" s="35">
        <v>22804.0</v>
      </c>
    </row>
    <row r="959" ht="12.75" customHeight="1">
      <c r="A959" s="32" t="s">
        <v>200</v>
      </c>
      <c r="B959" s="34">
        <v>12.0</v>
      </c>
      <c r="C959" s="35">
        <v>22613.0</v>
      </c>
      <c r="D959" s="35">
        <v>21183.0</v>
      </c>
    </row>
    <row r="960" ht="12.75" customHeight="1">
      <c r="A960" s="32" t="s">
        <v>200</v>
      </c>
      <c r="B960" s="34">
        <v>13.0</v>
      </c>
      <c r="C960" s="35">
        <v>22224.0</v>
      </c>
      <c r="D960" s="35">
        <v>20996.0</v>
      </c>
    </row>
    <row r="961" ht="12.75" customHeight="1">
      <c r="A961" s="32" t="s">
        <v>200</v>
      </c>
      <c r="B961" s="34">
        <v>14.0</v>
      </c>
      <c r="C961" s="35">
        <v>21788.0</v>
      </c>
      <c r="D961" s="35">
        <v>20731.0</v>
      </c>
    </row>
    <row r="962" ht="12.75" customHeight="1">
      <c r="A962" s="32" t="s">
        <v>224</v>
      </c>
      <c r="B962" s="34" t="s">
        <v>395</v>
      </c>
      <c r="C962" s="35">
        <v>1422.0</v>
      </c>
      <c r="D962" s="35">
        <v>1323.0</v>
      </c>
    </row>
    <row r="963" ht="12.75" customHeight="1">
      <c r="A963" s="32" t="s">
        <v>224</v>
      </c>
      <c r="B963" s="34">
        <v>1.0</v>
      </c>
      <c r="C963" s="35">
        <v>1400.0</v>
      </c>
      <c r="D963" s="35">
        <v>1347.0</v>
      </c>
    </row>
    <row r="964" ht="12.75" customHeight="1">
      <c r="A964" s="32" t="s">
        <v>224</v>
      </c>
      <c r="B964" s="34">
        <v>2.0</v>
      </c>
      <c r="C964" s="35">
        <v>1473.0</v>
      </c>
      <c r="D964" s="35">
        <v>1259.0</v>
      </c>
    </row>
    <row r="965" ht="12.75" customHeight="1">
      <c r="A965" s="32" t="s">
        <v>224</v>
      </c>
      <c r="B965" s="34">
        <v>3.0</v>
      </c>
      <c r="C965" s="35">
        <v>1415.0</v>
      </c>
      <c r="D965" s="35">
        <v>1393.0</v>
      </c>
    </row>
    <row r="966" ht="12.75" customHeight="1">
      <c r="A966" s="32" t="s">
        <v>224</v>
      </c>
      <c r="B966" s="34">
        <v>4.0</v>
      </c>
      <c r="C966" s="35">
        <v>1628.0</v>
      </c>
      <c r="D966" s="35">
        <v>1500.0</v>
      </c>
    </row>
    <row r="967" ht="12.75" customHeight="1">
      <c r="A967" s="32" t="s">
        <v>224</v>
      </c>
      <c r="B967" s="34">
        <v>5.0</v>
      </c>
      <c r="C967" s="35">
        <v>1651.0</v>
      </c>
      <c r="D967" s="35">
        <v>1566.0</v>
      </c>
    </row>
    <row r="968" ht="12.75" customHeight="1">
      <c r="A968" s="32" t="s">
        <v>224</v>
      </c>
      <c r="B968" s="34">
        <v>6.0</v>
      </c>
      <c r="C968" s="35">
        <v>1853.0</v>
      </c>
      <c r="D968" s="35">
        <v>1774.0</v>
      </c>
    </row>
    <row r="969" ht="12.75" customHeight="1">
      <c r="A969" s="32" t="s">
        <v>224</v>
      </c>
      <c r="B969" s="34">
        <v>7.0</v>
      </c>
      <c r="C969" s="35">
        <v>1937.0</v>
      </c>
      <c r="D969" s="35">
        <v>1772.0</v>
      </c>
    </row>
    <row r="970" ht="12.75" customHeight="1">
      <c r="A970" s="32" t="s">
        <v>224</v>
      </c>
      <c r="B970" s="34">
        <v>8.0</v>
      </c>
      <c r="C970" s="35">
        <v>2072.0</v>
      </c>
      <c r="D970" s="35">
        <v>2010.0</v>
      </c>
    </row>
    <row r="971" ht="12.75" customHeight="1">
      <c r="A971" s="32" t="s">
        <v>224</v>
      </c>
      <c r="B971" s="34">
        <v>9.0</v>
      </c>
      <c r="C971" s="35">
        <v>2133.0</v>
      </c>
      <c r="D971" s="35">
        <v>2007.0</v>
      </c>
    </row>
    <row r="972" ht="12.75" customHeight="1">
      <c r="A972" s="32" t="s">
        <v>224</v>
      </c>
      <c r="B972" s="34">
        <v>10.0</v>
      </c>
      <c r="C972" s="35">
        <v>2187.0</v>
      </c>
      <c r="D972" s="35">
        <v>2167.0</v>
      </c>
    </row>
    <row r="973" ht="12.75" customHeight="1">
      <c r="A973" s="32" t="s">
        <v>224</v>
      </c>
      <c r="B973" s="34">
        <v>11.0</v>
      </c>
      <c r="C973" s="35">
        <v>2224.0</v>
      </c>
      <c r="D973" s="35">
        <v>2100.0</v>
      </c>
    </row>
    <row r="974" ht="12.75" customHeight="1">
      <c r="A974" s="32" t="s">
        <v>224</v>
      </c>
      <c r="B974" s="34">
        <v>12.0</v>
      </c>
      <c r="C974" s="35">
        <v>1997.0</v>
      </c>
      <c r="D974" s="35">
        <v>1906.0</v>
      </c>
    </row>
    <row r="975" ht="12.75" customHeight="1">
      <c r="A975" s="32" t="s">
        <v>224</v>
      </c>
      <c r="B975" s="34">
        <v>13.0</v>
      </c>
      <c r="C975" s="35">
        <v>1976.0</v>
      </c>
      <c r="D975" s="35">
        <v>1969.0</v>
      </c>
    </row>
    <row r="976" ht="12.75" customHeight="1">
      <c r="A976" s="32" t="s">
        <v>224</v>
      </c>
      <c r="B976" s="34">
        <v>14.0</v>
      </c>
      <c r="C976" s="35">
        <v>2007.0</v>
      </c>
      <c r="D976" s="35">
        <v>2019.0</v>
      </c>
    </row>
    <row r="977" ht="12.75" customHeight="1">
      <c r="A977" s="32" t="s">
        <v>227</v>
      </c>
      <c r="B977" s="34" t="s">
        <v>395</v>
      </c>
      <c r="C977" s="35">
        <v>3021.0</v>
      </c>
      <c r="D977" s="35">
        <v>2922.0</v>
      </c>
    </row>
    <row r="978" ht="12.75" customHeight="1">
      <c r="A978" s="32" t="s">
        <v>227</v>
      </c>
      <c r="B978" s="34">
        <v>1.0</v>
      </c>
      <c r="C978" s="35">
        <v>3275.0</v>
      </c>
      <c r="D978" s="35">
        <v>3244.0</v>
      </c>
    </row>
    <row r="979" ht="12.75" customHeight="1">
      <c r="A979" s="32" t="s">
        <v>227</v>
      </c>
      <c r="B979" s="34">
        <v>2.0</v>
      </c>
      <c r="C979" s="35">
        <v>3309.0</v>
      </c>
      <c r="D979" s="35">
        <v>3635.0</v>
      </c>
    </row>
    <row r="980" ht="12.75" customHeight="1">
      <c r="A980" s="32" t="s">
        <v>227</v>
      </c>
      <c r="B980" s="34">
        <v>3.0</v>
      </c>
      <c r="C980" s="35">
        <v>3016.0</v>
      </c>
      <c r="D980" s="35">
        <v>2795.0</v>
      </c>
    </row>
    <row r="981" ht="12.75" customHeight="1">
      <c r="A981" s="32" t="s">
        <v>227</v>
      </c>
      <c r="B981" s="34">
        <v>4.0</v>
      </c>
      <c r="C981" s="35">
        <v>3134.0</v>
      </c>
      <c r="D981" s="35">
        <v>3217.0</v>
      </c>
    </row>
    <row r="982" ht="12.75" customHeight="1">
      <c r="A982" s="32" t="s">
        <v>227</v>
      </c>
      <c r="B982" s="34">
        <v>5.0</v>
      </c>
      <c r="C982" s="35">
        <v>3509.0</v>
      </c>
      <c r="D982" s="35">
        <v>3243.0</v>
      </c>
    </row>
    <row r="983" ht="12.75" customHeight="1">
      <c r="A983" s="32" t="s">
        <v>227</v>
      </c>
      <c r="B983" s="34">
        <v>6.0</v>
      </c>
      <c r="C983" s="35">
        <v>3716.0</v>
      </c>
      <c r="D983" s="35">
        <v>3369.0</v>
      </c>
    </row>
    <row r="984" ht="12.75" customHeight="1">
      <c r="A984" s="32" t="s">
        <v>227</v>
      </c>
      <c r="B984" s="34">
        <v>7.0</v>
      </c>
      <c r="C984" s="35">
        <v>3584.0</v>
      </c>
      <c r="D984" s="35">
        <v>3541.0</v>
      </c>
    </row>
    <row r="985" ht="12.75" customHeight="1">
      <c r="A985" s="32" t="s">
        <v>227</v>
      </c>
      <c r="B985" s="34">
        <v>8.0</v>
      </c>
      <c r="C985" s="35">
        <v>3701.0</v>
      </c>
      <c r="D985" s="35">
        <v>3891.0</v>
      </c>
    </row>
    <row r="986" ht="12.75" customHeight="1">
      <c r="A986" s="32" t="s">
        <v>227</v>
      </c>
      <c r="B986" s="34">
        <v>9.0</v>
      </c>
      <c r="C986" s="35">
        <v>3911.0</v>
      </c>
      <c r="D986" s="35">
        <v>3737.0</v>
      </c>
    </row>
    <row r="987" ht="12.75" customHeight="1">
      <c r="A987" s="32" t="s">
        <v>227</v>
      </c>
      <c r="B987" s="34">
        <v>10.0</v>
      </c>
      <c r="C987" s="35">
        <v>4260.0</v>
      </c>
      <c r="D987" s="35">
        <v>3605.0</v>
      </c>
    </row>
    <row r="988" ht="12.75" customHeight="1">
      <c r="A988" s="32" t="s">
        <v>227</v>
      </c>
      <c r="B988" s="34">
        <v>11.0</v>
      </c>
      <c r="C988" s="35">
        <v>4095.0</v>
      </c>
      <c r="D988" s="35">
        <v>3896.0</v>
      </c>
    </row>
    <row r="989" ht="12.75" customHeight="1">
      <c r="A989" s="32" t="s">
        <v>227</v>
      </c>
      <c r="B989" s="34">
        <v>12.0</v>
      </c>
      <c r="C989" s="35">
        <v>3852.0</v>
      </c>
      <c r="D989" s="35">
        <v>3696.0</v>
      </c>
    </row>
    <row r="990" ht="12.75" customHeight="1">
      <c r="A990" s="32" t="s">
        <v>227</v>
      </c>
      <c r="B990" s="34">
        <v>13.0</v>
      </c>
      <c r="C990" s="35">
        <v>3933.0</v>
      </c>
      <c r="D990" s="35">
        <v>3675.0</v>
      </c>
    </row>
    <row r="991" ht="12.75" customHeight="1">
      <c r="A991" s="32" t="s">
        <v>227</v>
      </c>
      <c r="B991" s="34">
        <v>14.0</v>
      </c>
      <c r="C991" s="35">
        <v>3752.0</v>
      </c>
      <c r="D991" s="35">
        <v>3581.0</v>
      </c>
    </row>
    <row r="992" ht="12.75" customHeight="1">
      <c r="A992" s="32" t="s">
        <v>230</v>
      </c>
      <c r="B992" s="34" t="s">
        <v>395</v>
      </c>
      <c r="C992" s="35">
        <v>2618.0</v>
      </c>
      <c r="D992" s="35">
        <v>2379.0</v>
      </c>
    </row>
    <row r="993" ht="12.75" customHeight="1">
      <c r="A993" s="32" t="s">
        <v>230</v>
      </c>
      <c r="B993" s="34">
        <v>1.0</v>
      </c>
      <c r="C993" s="35">
        <v>2770.0</v>
      </c>
      <c r="D993" s="35">
        <v>2501.0</v>
      </c>
    </row>
    <row r="994" ht="12.75" customHeight="1">
      <c r="A994" s="32" t="s">
        <v>230</v>
      </c>
      <c r="B994" s="34">
        <v>2.0</v>
      </c>
      <c r="C994" s="35">
        <v>2763.0</v>
      </c>
      <c r="D994" s="35">
        <v>2635.0</v>
      </c>
    </row>
    <row r="995" ht="12.75" customHeight="1">
      <c r="A995" s="32" t="s">
        <v>230</v>
      </c>
      <c r="B995" s="34">
        <v>3.0</v>
      </c>
      <c r="C995" s="35">
        <v>2932.0</v>
      </c>
      <c r="D995" s="35">
        <v>2769.0</v>
      </c>
    </row>
    <row r="996" ht="12.75" customHeight="1">
      <c r="A996" s="32" t="s">
        <v>230</v>
      </c>
      <c r="B996" s="34">
        <v>4.0</v>
      </c>
      <c r="C996" s="35">
        <v>3298.0</v>
      </c>
      <c r="D996" s="35">
        <v>3079.0</v>
      </c>
    </row>
    <row r="997" ht="12.75" customHeight="1">
      <c r="A997" s="32" t="s">
        <v>230</v>
      </c>
      <c r="B997" s="34">
        <v>5.0</v>
      </c>
      <c r="C997" s="35">
        <v>3493.0</v>
      </c>
      <c r="D997" s="35">
        <v>3340.0</v>
      </c>
    </row>
    <row r="998" ht="12.75" customHeight="1">
      <c r="A998" s="32" t="s">
        <v>230</v>
      </c>
      <c r="B998" s="34">
        <v>6.0</v>
      </c>
      <c r="C998" s="35">
        <v>3971.0</v>
      </c>
      <c r="D998" s="35">
        <v>3678.0</v>
      </c>
    </row>
    <row r="999" ht="12.75" customHeight="1">
      <c r="A999" s="32" t="s">
        <v>230</v>
      </c>
      <c r="B999" s="34">
        <v>7.0</v>
      </c>
      <c r="C999" s="35">
        <v>4155.0</v>
      </c>
      <c r="D999" s="35">
        <v>3992.0</v>
      </c>
    </row>
    <row r="1000" ht="12.75" customHeight="1">
      <c r="A1000" s="32" t="s">
        <v>230</v>
      </c>
      <c r="B1000" s="34">
        <v>8.0</v>
      </c>
      <c r="C1000" s="35">
        <v>4271.0</v>
      </c>
      <c r="D1000" s="35">
        <v>4029.0</v>
      </c>
    </row>
    <row r="1001" ht="12.75" customHeight="1">
      <c r="A1001" s="32" t="s">
        <v>230</v>
      </c>
      <c r="B1001" s="34">
        <v>9.0</v>
      </c>
      <c r="C1001" s="35">
        <v>4283.0</v>
      </c>
      <c r="D1001" s="35">
        <v>4184.0</v>
      </c>
    </row>
    <row r="1002" ht="12.75" customHeight="1">
      <c r="A1002" s="32" t="s">
        <v>230</v>
      </c>
      <c r="B1002" s="34">
        <v>10.0</v>
      </c>
      <c r="C1002" s="35">
        <v>4343.0</v>
      </c>
      <c r="D1002" s="35">
        <v>4261.0</v>
      </c>
    </row>
    <row r="1003" ht="12.75" customHeight="1">
      <c r="A1003" s="32" t="s">
        <v>230</v>
      </c>
      <c r="B1003" s="34">
        <v>11.0</v>
      </c>
      <c r="C1003" s="35">
        <v>4080.0</v>
      </c>
      <c r="D1003" s="35">
        <v>3982.0</v>
      </c>
    </row>
    <row r="1004" ht="12.75" customHeight="1">
      <c r="A1004" s="32" t="s">
        <v>230</v>
      </c>
      <c r="B1004" s="34">
        <v>12.0</v>
      </c>
      <c r="C1004" s="35">
        <v>4342.0</v>
      </c>
      <c r="D1004" s="35">
        <v>3917.0</v>
      </c>
    </row>
    <row r="1005" ht="12.75" customHeight="1">
      <c r="A1005" s="32" t="s">
        <v>230</v>
      </c>
      <c r="B1005" s="34">
        <v>13.0</v>
      </c>
      <c r="C1005" s="35">
        <v>4263.0</v>
      </c>
      <c r="D1005" s="35">
        <v>3893.0</v>
      </c>
    </row>
    <row r="1006" ht="12.75" customHeight="1">
      <c r="A1006" s="32" t="s">
        <v>230</v>
      </c>
      <c r="B1006" s="34">
        <v>14.0</v>
      </c>
      <c r="C1006" s="35">
        <v>4146.0</v>
      </c>
      <c r="D1006" s="35">
        <v>3916.0</v>
      </c>
    </row>
    <row r="1007" ht="12.75" customHeight="1">
      <c r="A1007" s="32" t="s">
        <v>203</v>
      </c>
      <c r="B1007" s="34" t="s">
        <v>395</v>
      </c>
      <c r="C1007" s="35">
        <v>9058.0</v>
      </c>
      <c r="D1007" s="35">
        <v>8467.0</v>
      </c>
    </row>
    <row r="1008" ht="12.75" customHeight="1">
      <c r="A1008" s="32" t="s">
        <v>203</v>
      </c>
      <c r="B1008" s="34">
        <v>1.0</v>
      </c>
      <c r="C1008" s="35">
        <v>9820.0</v>
      </c>
      <c r="D1008" s="35">
        <v>9504.0</v>
      </c>
    </row>
    <row r="1009" ht="12.75" customHeight="1">
      <c r="A1009" s="32" t="s">
        <v>203</v>
      </c>
      <c r="B1009" s="34">
        <v>2.0</v>
      </c>
      <c r="C1009" s="35">
        <v>10178.0</v>
      </c>
      <c r="D1009" s="35">
        <v>9605.0</v>
      </c>
    </row>
    <row r="1010" ht="12.75" customHeight="1">
      <c r="A1010" s="32" t="s">
        <v>203</v>
      </c>
      <c r="B1010" s="34">
        <v>3.0</v>
      </c>
      <c r="C1010" s="35">
        <v>10850.0</v>
      </c>
      <c r="D1010" s="35">
        <v>10145.0</v>
      </c>
    </row>
    <row r="1011" ht="12.75" customHeight="1">
      <c r="A1011" s="32" t="s">
        <v>203</v>
      </c>
      <c r="B1011" s="34">
        <v>4.0</v>
      </c>
      <c r="C1011" s="35">
        <v>11962.0</v>
      </c>
      <c r="D1011" s="35">
        <v>11181.0</v>
      </c>
    </row>
    <row r="1012" ht="12.75" customHeight="1">
      <c r="A1012" s="32" t="s">
        <v>203</v>
      </c>
      <c r="B1012" s="34">
        <v>5.0</v>
      </c>
      <c r="C1012" s="35">
        <v>12942.0</v>
      </c>
      <c r="D1012" s="35">
        <v>12200.0</v>
      </c>
    </row>
    <row r="1013" ht="12.75" customHeight="1">
      <c r="A1013" s="32" t="s">
        <v>203</v>
      </c>
      <c r="B1013" s="34">
        <v>6.0</v>
      </c>
      <c r="C1013" s="35">
        <v>14259.0</v>
      </c>
      <c r="D1013" s="35">
        <v>13903.0</v>
      </c>
    </row>
    <row r="1014" ht="12.75" customHeight="1">
      <c r="A1014" s="32" t="s">
        <v>203</v>
      </c>
      <c r="B1014" s="34">
        <v>7.0</v>
      </c>
      <c r="C1014" s="35">
        <v>14980.0</v>
      </c>
      <c r="D1014" s="35">
        <v>14409.0</v>
      </c>
    </row>
    <row r="1015" ht="12.75" customHeight="1">
      <c r="A1015" s="32" t="s">
        <v>203</v>
      </c>
      <c r="B1015" s="34">
        <v>8.0</v>
      </c>
      <c r="C1015" s="35">
        <v>15593.0</v>
      </c>
      <c r="D1015" s="35">
        <v>14999.0</v>
      </c>
    </row>
    <row r="1016" ht="12.75" customHeight="1">
      <c r="A1016" s="32" t="s">
        <v>203</v>
      </c>
      <c r="B1016" s="34">
        <v>9.0</v>
      </c>
      <c r="C1016" s="35">
        <v>15869.0</v>
      </c>
      <c r="D1016" s="35">
        <v>15247.0</v>
      </c>
    </row>
    <row r="1017" ht="12.75" customHeight="1">
      <c r="A1017" s="32" t="s">
        <v>203</v>
      </c>
      <c r="B1017" s="34">
        <v>10.0</v>
      </c>
      <c r="C1017" s="35">
        <v>16249.0</v>
      </c>
      <c r="D1017" s="35">
        <v>15556.0</v>
      </c>
    </row>
    <row r="1018" ht="12.75" customHeight="1">
      <c r="A1018" s="32" t="s">
        <v>203</v>
      </c>
      <c r="B1018" s="34">
        <v>11.0</v>
      </c>
      <c r="C1018" s="35">
        <v>15176.0</v>
      </c>
      <c r="D1018" s="35">
        <v>14429.0</v>
      </c>
    </row>
    <row r="1019" ht="12.75" customHeight="1">
      <c r="A1019" s="32" t="s">
        <v>203</v>
      </c>
      <c r="B1019" s="34">
        <v>12.0</v>
      </c>
      <c r="C1019" s="35">
        <v>14438.0</v>
      </c>
      <c r="D1019" s="35">
        <v>13296.0</v>
      </c>
    </row>
    <row r="1020" ht="12.75" customHeight="1">
      <c r="A1020" s="32" t="s">
        <v>203</v>
      </c>
      <c r="B1020" s="34">
        <v>13.0</v>
      </c>
      <c r="C1020" s="35">
        <v>13922.0</v>
      </c>
      <c r="D1020" s="35">
        <v>13430.0</v>
      </c>
    </row>
    <row r="1021" ht="12.75" customHeight="1">
      <c r="A1021" s="32" t="s">
        <v>203</v>
      </c>
      <c r="B1021" s="34">
        <v>14.0</v>
      </c>
      <c r="C1021" s="35">
        <v>15149.0</v>
      </c>
      <c r="D1021" s="35">
        <v>14280.0</v>
      </c>
    </row>
    <row r="1022" ht="12.75" customHeight="1">
      <c r="A1022" s="32" t="s">
        <v>206</v>
      </c>
      <c r="B1022" s="34" t="s">
        <v>395</v>
      </c>
      <c r="C1022" s="35">
        <v>13443.0</v>
      </c>
      <c r="D1022" s="35">
        <v>12961.0</v>
      </c>
    </row>
    <row r="1023" ht="12.75" customHeight="1">
      <c r="A1023" s="32" t="s">
        <v>206</v>
      </c>
      <c r="B1023" s="34">
        <v>1.0</v>
      </c>
      <c r="C1023" s="35">
        <v>14704.0</v>
      </c>
      <c r="D1023" s="35">
        <v>13776.0</v>
      </c>
    </row>
    <row r="1024" ht="12.75" customHeight="1">
      <c r="A1024" s="32" t="s">
        <v>206</v>
      </c>
      <c r="B1024" s="34">
        <v>2.0</v>
      </c>
      <c r="C1024" s="35">
        <v>15030.0</v>
      </c>
      <c r="D1024" s="35">
        <v>14164.0</v>
      </c>
    </row>
    <row r="1025" ht="12.75" customHeight="1">
      <c r="A1025" s="32" t="s">
        <v>206</v>
      </c>
      <c r="B1025" s="34">
        <v>3.0</v>
      </c>
      <c r="C1025" s="35">
        <v>15602.0</v>
      </c>
      <c r="D1025" s="35">
        <v>14743.0</v>
      </c>
    </row>
    <row r="1026" ht="12.75" customHeight="1">
      <c r="A1026" s="32" t="s">
        <v>206</v>
      </c>
      <c r="B1026" s="34">
        <v>4.0</v>
      </c>
      <c r="C1026" s="35">
        <v>17367.0</v>
      </c>
      <c r="D1026" s="35">
        <v>16374.0</v>
      </c>
    </row>
    <row r="1027" ht="12.75" customHeight="1">
      <c r="A1027" s="32" t="s">
        <v>206</v>
      </c>
      <c r="B1027" s="34">
        <v>5.0</v>
      </c>
      <c r="C1027" s="35">
        <v>18324.0</v>
      </c>
      <c r="D1027" s="35">
        <v>17383.0</v>
      </c>
    </row>
    <row r="1028" ht="12.75" customHeight="1">
      <c r="A1028" s="32" t="s">
        <v>206</v>
      </c>
      <c r="B1028" s="34">
        <v>6.0</v>
      </c>
      <c r="C1028" s="35">
        <v>20442.0</v>
      </c>
      <c r="D1028" s="35">
        <v>19549.0</v>
      </c>
    </row>
    <row r="1029" ht="12.75" customHeight="1">
      <c r="A1029" s="32" t="s">
        <v>206</v>
      </c>
      <c r="B1029" s="34">
        <v>7.0</v>
      </c>
      <c r="C1029" s="35">
        <v>21136.0</v>
      </c>
      <c r="D1029" s="35">
        <v>20067.0</v>
      </c>
    </row>
    <row r="1030" ht="12.75" customHeight="1">
      <c r="A1030" s="32" t="s">
        <v>206</v>
      </c>
      <c r="B1030" s="34">
        <v>8.0</v>
      </c>
      <c r="C1030" s="35">
        <v>21214.0</v>
      </c>
      <c r="D1030" s="35">
        <v>19925.0</v>
      </c>
    </row>
    <row r="1031" ht="12.75" customHeight="1">
      <c r="A1031" s="32" t="s">
        <v>206</v>
      </c>
      <c r="B1031" s="34">
        <v>9.0</v>
      </c>
      <c r="C1031" s="35">
        <v>20938.0</v>
      </c>
      <c r="D1031" s="35">
        <v>19922.0</v>
      </c>
    </row>
    <row r="1032" ht="12.75" customHeight="1">
      <c r="A1032" s="32" t="s">
        <v>206</v>
      </c>
      <c r="B1032" s="34">
        <v>10.0</v>
      </c>
      <c r="C1032" s="35">
        <v>21074.0</v>
      </c>
      <c r="D1032" s="35">
        <v>19884.0</v>
      </c>
    </row>
    <row r="1033" ht="12.75" customHeight="1">
      <c r="A1033" s="32" t="s">
        <v>206</v>
      </c>
      <c r="B1033" s="34">
        <v>11.0</v>
      </c>
      <c r="C1033" s="35">
        <v>19502.0</v>
      </c>
      <c r="D1033" s="35">
        <v>18649.0</v>
      </c>
    </row>
    <row r="1034" ht="12.75" customHeight="1">
      <c r="A1034" s="32" t="s">
        <v>206</v>
      </c>
      <c r="B1034" s="34">
        <v>12.0</v>
      </c>
      <c r="C1034" s="35">
        <v>18998.0</v>
      </c>
      <c r="D1034" s="35">
        <v>17787.0</v>
      </c>
    </row>
    <row r="1035" ht="12.75" customHeight="1">
      <c r="A1035" s="32" t="s">
        <v>206</v>
      </c>
      <c r="B1035" s="34">
        <v>13.0</v>
      </c>
      <c r="C1035" s="35">
        <v>18713.0</v>
      </c>
      <c r="D1035" s="35">
        <v>17674.0</v>
      </c>
    </row>
    <row r="1036" ht="12.75" customHeight="1">
      <c r="A1036" s="32" t="s">
        <v>206</v>
      </c>
      <c r="B1036" s="34">
        <v>14.0</v>
      </c>
      <c r="C1036" s="35">
        <v>18585.0</v>
      </c>
      <c r="D1036" s="35">
        <v>17125.0</v>
      </c>
    </row>
    <row r="1037" ht="12.75" customHeight="1">
      <c r="A1037" s="32" t="s">
        <v>209</v>
      </c>
      <c r="B1037" s="34" t="s">
        <v>395</v>
      </c>
      <c r="C1037" s="35">
        <v>12634.0</v>
      </c>
      <c r="D1037" s="35">
        <v>11845.0</v>
      </c>
    </row>
    <row r="1038" ht="12.75" customHeight="1">
      <c r="A1038" s="32" t="s">
        <v>209</v>
      </c>
      <c r="B1038" s="34">
        <v>1.0</v>
      </c>
      <c r="C1038" s="35">
        <v>13360.0</v>
      </c>
      <c r="D1038" s="35">
        <v>12587.0</v>
      </c>
    </row>
    <row r="1039" ht="12.75" customHeight="1">
      <c r="A1039" s="32" t="s">
        <v>209</v>
      </c>
      <c r="B1039" s="34">
        <v>2.0</v>
      </c>
      <c r="C1039" s="35">
        <v>13684.0</v>
      </c>
      <c r="D1039" s="35">
        <v>12955.0</v>
      </c>
    </row>
    <row r="1040" ht="12.75" customHeight="1">
      <c r="A1040" s="32" t="s">
        <v>209</v>
      </c>
      <c r="B1040" s="34">
        <v>3.0</v>
      </c>
      <c r="C1040" s="35">
        <v>14315.0</v>
      </c>
      <c r="D1040" s="35">
        <v>13509.0</v>
      </c>
    </row>
    <row r="1041" ht="12.75" customHeight="1">
      <c r="A1041" s="32" t="s">
        <v>209</v>
      </c>
      <c r="B1041" s="34">
        <v>4.0</v>
      </c>
      <c r="C1041" s="35">
        <v>15693.0</v>
      </c>
      <c r="D1041" s="35">
        <v>14597.0</v>
      </c>
    </row>
    <row r="1042" ht="12.75" customHeight="1">
      <c r="A1042" s="32" t="s">
        <v>209</v>
      </c>
      <c r="B1042" s="34">
        <v>5.0</v>
      </c>
      <c r="C1042" s="35">
        <v>16076.0</v>
      </c>
      <c r="D1042" s="35">
        <v>15478.0</v>
      </c>
    </row>
    <row r="1043" ht="12.75" customHeight="1">
      <c r="A1043" s="32" t="s">
        <v>209</v>
      </c>
      <c r="B1043" s="34">
        <v>6.0</v>
      </c>
      <c r="C1043" s="35">
        <v>18187.0</v>
      </c>
      <c r="D1043" s="35">
        <v>16703.0</v>
      </c>
    </row>
    <row r="1044" ht="12.75" customHeight="1">
      <c r="A1044" s="32" t="s">
        <v>209</v>
      </c>
      <c r="B1044" s="34">
        <v>7.0</v>
      </c>
      <c r="C1044" s="35">
        <v>18427.0</v>
      </c>
      <c r="D1044" s="35">
        <v>17541.0</v>
      </c>
    </row>
    <row r="1045" ht="12.75" customHeight="1">
      <c r="A1045" s="32" t="s">
        <v>209</v>
      </c>
      <c r="B1045" s="34">
        <v>8.0</v>
      </c>
      <c r="C1045" s="35">
        <v>18434.0</v>
      </c>
      <c r="D1045" s="35">
        <v>17324.0</v>
      </c>
    </row>
    <row r="1046" ht="12.75" customHeight="1">
      <c r="A1046" s="32" t="s">
        <v>209</v>
      </c>
      <c r="B1046" s="34">
        <v>9.0</v>
      </c>
      <c r="C1046" s="35">
        <v>18833.0</v>
      </c>
      <c r="D1046" s="35">
        <v>17800.0</v>
      </c>
    </row>
    <row r="1047" ht="12.75" customHeight="1">
      <c r="A1047" s="32" t="s">
        <v>209</v>
      </c>
      <c r="B1047" s="34">
        <v>10.0</v>
      </c>
      <c r="C1047" s="35">
        <v>19018.0</v>
      </c>
      <c r="D1047" s="35">
        <v>18208.0</v>
      </c>
    </row>
    <row r="1048" ht="12.75" customHeight="1">
      <c r="A1048" s="32" t="s">
        <v>209</v>
      </c>
      <c r="B1048" s="34">
        <v>11.0</v>
      </c>
      <c r="C1048" s="35">
        <v>18200.0</v>
      </c>
      <c r="D1048" s="35">
        <v>17581.0</v>
      </c>
    </row>
    <row r="1049" ht="12.75" customHeight="1">
      <c r="A1049" s="32" t="s">
        <v>209</v>
      </c>
      <c r="B1049" s="34">
        <v>12.0</v>
      </c>
      <c r="C1049" s="35">
        <v>16843.0</v>
      </c>
      <c r="D1049" s="35">
        <v>15912.0</v>
      </c>
    </row>
    <row r="1050" ht="12.75" customHeight="1">
      <c r="A1050" s="32" t="s">
        <v>209</v>
      </c>
      <c r="B1050" s="34">
        <v>13.0</v>
      </c>
      <c r="C1050" s="35">
        <v>16915.0</v>
      </c>
      <c r="D1050" s="35">
        <v>16124.0</v>
      </c>
    </row>
    <row r="1051" ht="12.75" customHeight="1">
      <c r="A1051" s="32" t="s">
        <v>209</v>
      </c>
      <c r="B1051" s="34">
        <v>14.0</v>
      </c>
      <c r="C1051" s="35">
        <v>17140.0</v>
      </c>
      <c r="D1051" s="35">
        <v>16460.0</v>
      </c>
    </row>
    <row r="1052" ht="12.75" customHeight="1">
      <c r="A1052" s="32" t="s">
        <v>212</v>
      </c>
      <c r="B1052" s="34" t="s">
        <v>395</v>
      </c>
      <c r="C1052" s="35">
        <v>10129.0</v>
      </c>
      <c r="D1052" s="35">
        <v>9536.0</v>
      </c>
    </row>
    <row r="1053" ht="12.75" customHeight="1">
      <c r="A1053" s="32" t="s">
        <v>212</v>
      </c>
      <c r="B1053" s="34">
        <v>1.0</v>
      </c>
      <c r="C1053" s="35">
        <v>11106.0</v>
      </c>
      <c r="D1053" s="35">
        <v>10392.0</v>
      </c>
    </row>
    <row r="1054" ht="12.75" customHeight="1">
      <c r="A1054" s="32" t="s">
        <v>212</v>
      </c>
      <c r="B1054" s="34">
        <v>2.0</v>
      </c>
      <c r="C1054" s="35">
        <v>11568.0</v>
      </c>
      <c r="D1054" s="35">
        <v>10942.0</v>
      </c>
    </row>
    <row r="1055" ht="12.75" customHeight="1">
      <c r="A1055" s="32" t="s">
        <v>212</v>
      </c>
      <c r="B1055" s="34">
        <v>3.0</v>
      </c>
      <c r="C1055" s="35">
        <v>12159.0</v>
      </c>
      <c r="D1055" s="35">
        <v>11472.0</v>
      </c>
    </row>
    <row r="1056" ht="12.75" customHeight="1">
      <c r="A1056" s="32" t="s">
        <v>212</v>
      </c>
      <c r="B1056" s="34">
        <v>4.0</v>
      </c>
      <c r="C1056" s="35">
        <v>13397.0</v>
      </c>
      <c r="D1056" s="35">
        <v>12920.0</v>
      </c>
    </row>
    <row r="1057" ht="12.75" customHeight="1">
      <c r="A1057" s="32" t="s">
        <v>212</v>
      </c>
      <c r="B1057" s="34">
        <v>5.0</v>
      </c>
      <c r="C1057" s="35">
        <v>14195.0</v>
      </c>
      <c r="D1057" s="35">
        <v>13713.0</v>
      </c>
    </row>
    <row r="1058" ht="12.75" customHeight="1">
      <c r="A1058" s="32" t="s">
        <v>212</v>
      </c>
      <c r="B1058" s="34">
        <v>6.0</v>
      </c>
      <c r="C1058" s="35">
        <v>16539.0</v>
      </c>
      <c r="D1058" s="35">
        <v>15506.0</v>
      </c>
    </row>
    <row r="1059" ht="12.75" customHeight="1">
      <c r="A1059" s="32" t="s">
        <v>212</v>
      </c>
      <c r="B1059" s="34">
        <v>7.0</v>
      </c>
      <c r="C1059" s="35">
        <v>16994.0</v>
      </c>
      <c r="D1059" s="35">
        <v>16370.0</v>
      </c>
    </row>
    <row r="1060" ht="12.75" customHeight="1">
      <c r="A1060" s="32" t="s">
        <v>212</v>
      </c>
      <c r="B1060" s="34">
        <v>8.0</v>
      </c>
      <c r="C1060" s="35">
        <v>17930.0</v>
      </c>
      <c r="D1060" s="35">
        <v>16947.0</v>
      </c>
    </row>
    <row r="1061" ht="12.75" customHeight="1">
      <c r="A1061" s="32" t="s">
        <v>212</v>
      </c>
      <c r="B1061" s="34">
        <v>9.0</v>
      </c>
      <c r="C1061" s="35">
        <v>18717.0</v>
      </c>
      <c r="D1061" s="35">
        <v>17720.0</v>
      </c>
    </row>
    <row r="1062" ht="12.75" customHeight="1">
      <c r="A1062" s="32" t="s">
        <v>212</v>
      </c>
      <c r="B1062" s="34">
        <v>10.0</v>
      </c>
      <c r="C1062" s="35">
        <v>19020.0</v>
      </c>
      <c r="D1062" s="35">
        <v>17882.0</v>
      </c>
    </row>
    <row r="1063" ht="12.75" customHeight="1">
      <c r="A1063" s="32" t="s">
        <v>212</v>
      </c>
      <c r="B1063" s="34">
        <v>11.0</v>
      </c>
      <c r="C1063" s="35">
        <v>17435.0</v>
      </c>
      <c r="D1063" s="35">
        <v>16744.0</v>
      </c>
    </row>
    <row r="1064" ht="12.75" customHeight="1">
      <c r="A1064" s="32" t="s">
        <v>212</v>
      </c>
      <c r="B1064" s="34">
        <v>12.0</v>
      </c>
      <c r="C1064" s="35">
        <v>17309.0</v>
      </c>
      <c r="D1064" s="35">
        <v>16396.0</v>
      </c>
    </row>
    <row r="1065" ht="12.75" customHeight="1">
      <c r="A1065" s="32" t="s">
        <v>212</v>
      </c>
      <c r="B1065" s="34">
        <v>13.0</v>
      </c>
      <c r="C1065" s="35">
        <v>18218.0</v>
      </c>
      <c r="D1065" s="35">
        <v>17315.0</v>
      </c>
    </row>
    <row r="1066" ht="12.75" customHeight="1">
      <c r="A1066" s="32" t="s">
        <v>212</v>
      </c>
      <c r="B1066" s="34">
        <v>14.0</v>
      </c>
      <c r="C1066" s="35">
        <v>18030.0</v>
      </c>
      <c r="D1066" s="35">
        <v>17125.0</v>
      </c>
    </row>
    <row r="1067" ht="12.75" customHeight="1">
      <c r="A1067" s="32" t="s">
        <v>215</v>
      </c>
      <c r="B1067" s="34" t="s">
        <v>395</v>
      </c>
      <c r="C1067" s="35">
        <v>13706.0</v>
      </c>
      <c r="D1067" s="35">
        <v>12954.0</v>
      </c>
    </row>
    <row r="1068" ht="12.75" customHeight="1">
      <c r="A1068" s="32" t="s">
        <v>215</v>
      </c>
      <c r="B1068" s="34">
        <v>1.0</v>
      </c>
      <c r="C1068" s="35">
        <v>14662.0</v>
      </c>
      <c r="D1068" s="35">
        <v>13655.0</v>
      </c>
    </row>
    <row r="1069" ht="12.75" customHeight="1">
      <c r="A1069" s="32" t="s">
        <v>215</v>
      </c>
      <c r="B1069" s="34">
        <v>2.0</v>
      </c>
      <c r="C1069" s="35">
        <v>14810.0</v>
      </c>
      <c r="D1069" s="35">
        <v>14211.0</v>
      </c>
    </row>
    <row r="1070" ht="12.75" customHeight="1">
      <c r="A1070" s="32" t="s">
        <v>215</v>
      </c>
      <c r="B1070" s="34">
        <v>3.0</v>
      </c>
      <c r="C1070" s="35">
        <v>15517.0</v>
      </c>
      <c r="D1070" s="35">
        <v>14647.0</v>
      </c>
    </row>
    <row r="1071" ht="12.75" customHeight="1">
      <c r="A1071" s="32" t="s">
        <v>215</v>
      </c>
      <c r="B1071" s="34">
        <v>4.0</v>
      </c>
      <c r="C1071" s="35">
        <v>17040.0</v>
      </c>
      <c r="D1071" s="35">
        <v>15890.0</v>
      </c>
    </row>
    <row r="1072" ht="12.75" customHeight="1">
      <c r="A1072" s="32" t="s">
        <v>215</v>
      </c>
      <c r="B1072" s="34">
        <v>5.0</v>
      </c>
      <c r="C1072" s="35">
        <v>17811.0</v>
      </c>
      <c r="D1072" s="35">
        <v>16956.0</v>
      </c>
    </row>
    <row r="1073" ht="12.75" customHeight="1">
      <c r="A1073" s="32" t="s">
        <v>215</v>
      </c>
      <c r="B1073" s="34">
        <v>6.0</v>
      </c>
      <c r="C1073" s="35">
        <v>19648.0</v>
      </c>
      <c r="D1073" s="35">
        <v>18755.0</v>
      </c>
    </row>
    <row r="1074" ht="12.75" customHeight="1">
      <c r="A1074" s="32" t="s">
        <v>215</v>
      </c>
      <c r="B1074" s="34">
        <v>7.0</v>
      </c>
      <c r="C1074" s="35">
        <v>20253.0</v>
      </c>
      <c r="D1074" s="35">
        <v>19199.0</v>
      </c>
    </row>
    <row r="1075" ht="12.75" customHeight="1">
      <c r="A1075" s="32" t="s">
        <v>215</v>
      </c>
      <c r="B1075" s="34">
        <v>8.0</v>
      </c>
      <c r="C1075" s="35">
        <v>20071.0</v>
      </c>
      <c r="D1075" s="35">
        <v>18817.0</v>
      </c>
    </row>
    <row r="1076" ht="12.75" customHeight="1">
      <c r="A1076" s="32" t="s">
        <v>215</v>
      </c>
      <c r="B1076" s="34">
        <v>9.0</v>
      </c>
      <c r="C1076" s="35">
        <v>19881.0</v>
      </c>
      <c r="D1076" s="35">
        <v>18990.0</v>
      </c>
    </row>
    <row r="1077" ht="12.75" customHeight="1">
      <c r="A1077" s="32" t="s">
        <v>215</v>
      </c>
      <c r="B1077" s="34">
        <v>10.0</v>
      </c>
      <c r="C1077" s="35">
        <v>19506.0</v>
      </c>
      <c r="D1077" s="35">
        <v>18709.0</v>
      </c>
    </row>
    <row r="1078" ht="12.75" customHeight="1">
      <c r="A1078" s="32" t="s">
        <v>215</v>
      </c>
      <c r="B1078" s="34">
        <v>11.0</v>
      </c>
      <c r="C1078" s="35">
        <v>18342.0</v>
      </c>
      <c r="D1078" s="35">
        <v>17460.0</v>
      </c>
    </row>
    <row r="1079" ht="12.75" customHeight="1">
      <c r="A1079" s="32" t="s">
        <v>215</v>
      </c>
      <c r="B1079" s="34">
        <v>12.0</v>
      </c>
      <c r="C1079" s="35">
        <v>16626.0</v>
      </c>
      <c r="D1079" s="35">
        <v>15927.0</v>
      </c>
    </row>
    <row r="1080" ht="12.75" customHeight="1">
      <c r="A1080" s="32" t="s">
        <v>215</v>
      </c>
      <c r="B1080" s="34">
        <v>13.0</v>
      </c>
      <c r="C1080" s="35">
        <v>16144.0</v>
      </c>
      <c r="D1080" s="35">
        <v>15425.0</v>
      </c>
    </row>
    <row r="1081" ht="12.75" customHeight="1">
      <c r="A1081" s="32" t="s">
        <v>215</v>
      </c>
      <c r="B1081" s="34">
        <v>14.0</v>
      </c>
      <c r="C1081" s="35">
        <v>16478.0</v>
      </c>
      <c r="D1081" s="35">
        <v>15545.0</v>
      </c>
    </row>
    <row r="1082" ht="12.75" customHeight="1">
      <c r="A1082" s="32" t="s">
        <v>218</v>
      </c>
      <c r="B1082" s="34" t="s">
        <v>395</v>
      </c>
      <c r="C1082" s="35">
        <v>8247.0</v>
      </c>
      <c r="D1082" s="35">
        <v>7769.0</v>
      </c>
    </row>
    <row r="1083" ht="12.75" customHeight="1">
      <c r="A1083" s="32" t="s">
        <v>218</v>
      </c>
      <c r="B1083" s="34">
        <v>1.0</v>
      </c>
      <c r="C1083" s="35">
        <v>8798.0</v>
      </c>
      <c r="D1083" s="35">
        <v>8146.0</v>
      </c>
    </row>
    <row r="1084" ht="12.75" customHeight="1">
      <c r="A1084" s="32" t="s">
        <v>218</v>
      </c>
      <c r="B1084" s="34">
        <v>2.0</v>
      </c>
      <c r="C1084" s="35">
        <v>8840.0</v>
      </c>
      <c r="D1084" s="35">
        <v>8547.0</v>
      </c>
    </row>
    <row r="1085" ht="12.75" customHeight="1">
      <c r="A1085" s="32" t="s">
        <v>218</v>
      </c>
      <c r="B1085" s="34">
        <v>3.0</v>
      </c>
      <c r="C1085" s="35">
        <v>9387.0</v>
      </c>
      <c r="D1085" s="35">
        <v>8980.0</v>
      </c>
    </row>
    <row r="1086" ht="12.75" customHeight="1">
      <c r="A1086" s="32" t="s">
        <v>218</v>
      </c>
      <c r="B1086" s="34">
        <v>4.0</v>
      </c>
      <c r="C1086" s="35">
        <v>10604.0</v>
      </c>
      <c r="D1086" s="35">
        <v>9852.0</v>
      </c>
    </row>
    <row r="1087" ht="12.75" customHeight="1">
      <c r="A1087" s="32" t="s">
        <v>218</v>
      </c>
      <c r="B1087" s="34">
        <v>5.0</v>
      </c>
      <c r="C1087" s="35">
        <v>10984.0</v>
      </c>
      <c r="D1087" s="35">
        <v>10601.0</v>
      </c>
    </row>
    <row r="1088" ht="12.75" customHeight="1">
      <c r="A1088" s="32" t="s">
        <v>218</v>
      </c>
      <c r="B1088" s="34">
        <v>6.0</v>
      </c>
      <c r="C1088" s="35">
        <v>12779.0</v>
      </c>
      <c r="D1088" s="35">
        <v>12176.0</v>
      </c>
    </row>
    <row r="1089" ht="12.75" customHeight="1">
      <c r="A1089" s="32" t="s">
        <v>218</v>
      </c>
      <c r="B1089" s="34">
        <v>7.0</v>
      </c>
      <c r="C1089" s="35">
        <v>13776.0</v>
      </c>
      <c r="D1089" s="35">
        <v>13055.0</v>
      </c>
    </row>
    <row r="1090" ht="12.75" customHeight="1">
      <c r="A1090" s="32" t="s">
        <v>218</v>
      </c>
      <c r="B1090" s="34">
        <v>8.0</v>
      </c>
      <c r="C1090" s="35">
        <v>14229.0</v>
      </c>
      <c r="D1090" s="35">
        <v>13711.0</v>
      </c>
    </row>
    <row r="1091" ht="12.75" customHeight="1">
      <c r="A1091" s="32" t="s">
        <v>218</v>
      </c>
      <c r="B1091" s="34">
        <v>9.0</v>
      </c>
      <c r="C1091" s="35">
        <v>13889.0</v>
      </c>
      <c r="D1091" s="35">
        <v>13315.0</v>
      </c>
    </row>
    <row r="1092" ht="12.75" customHeight="1">
      <c r="A1092" s="32" t="s">
        <v>218</v>
      </c>
      <c r="B1092" s="34">
        <v>10.0</v>
      </c>
      <c r="C1092" s="35">
        <v>14133.0</v>
      </c>
      <c r="D1092" s="35">
        <v>13458.0</v>
      </c>
    </row>
    <row r="1093" ht="12.75" customHeight="1">
      <c r="A1093" s="32" t="s">
        <v>218</v>
      </c>
      <c r="B1093" s="34">
        <v>11.0</v>
      </c>
      <c r="C1093" s="35">
        <v>12944.0</v>
      </c>
      <c r="D1093" s="35">
        <v>12092.0</v>
      </c>
    </row>
    <row r="1094" ht="12.75" customHeight="1">
      <c r="A1094" s="32" t="s">
        <v>218</v>
      </c>
      <c r="B1094" s="34">
        <v>12.0</v>
      </c>
      <c r="C1094" s="35">
        <v>12223.0</v>
      </c>
      <c r="D1094" s="35">
        <v>11309.0</v>
      </c>
    </row>
    <row r="1095" ht="12.75" customHeight="1">
      <c r="A1095" s="32" t="s">
        <v>218</v>
      </c>
      <c r="B1095" s="34">
        <v>13.0</v>
      </c>
      <c r="C1095" s="35">
        <v>11729.0</v>
      </c>
      <c r="D1095" s="35">
        <v>11212.0</v>
      </c>
    </row>
    <row r="1096" ht="12.75" customHeight="1">
      <c r="A1096" s="32" t="s">
        <v>218</v>
      </c>
      <c r="B1096" s="34">
        <v>14.0</v>
      </c>
      <c r="C1096" s="35">
        <v>11665.0</v>
      </c>
      <c r="D1096" s="35">
        <v>10900.0</v>
      </c>
    </row>
    <row r="1097" ht="12.75" customHeight="1">
      <c r="A1097" s="32" t="s">
        <v>221</v>
      </c>
      <c r="B1097" s="34" t="s">
        <v>395</v>
      </c>
      <c r="C1097" s="35">
        <v>4424.0</v>
      </c>
      <c r="D1097" s="35">
        <v>4294.0</v>
      </c>
    </row>
    <row r="1098" ht="12.75" customHeight="1">
      <c r="A1098" s="32" t="s">
        <v>221</v>
      </c>
      <c r="B1098" s="34">
        <v>1.0</v>
      </c>
      <c r="C1098" s="35">
        <v>4860.0</v>
      </c>
      <c r="D1098" s="35">
        <v>4578.0</v>
      </c>
    </row>
    <row r="1099" ht="12.75" customHeight="1">
      <c r="A1099" s="32" t="s">
        <v>221</v>
      </c>
      <c r="B1099" s="34">
        <v>2.0</v>
      </c>
      <c r="C1099" s="35">
        <v>5132.0</v>
      </c>
      <c r="D1099" s="35">
        <v>4691.0</v>
      </c>
    </row>
    <row r="1100" ht="12.75" customHeight="1">
      <c r="A1100" s="32" t="s">
        <v>221</v>
      </c>
      <c r="B1100" s="34">
        <v>3.0</v>
      </c>
      <c r="C1100" s="35">
        <v>5420.0</v>
      </c>
      <c r="D1100" s="35">
        <v>5112.0</v>
      </c>
    </row>
    <row r="1101" ht="12.75" customHeight="1">
      <c r="A1101" s="32" t="s">
        <v>221</v>
      </c>
      <c r="B1101" s="34">
        <v>4.0</v>
      </c>
      <c r="C1101" s="35">
        <v>5997.0</v>
      </c>
      <c r="D1101" s="35">
        <v>5514.0</v>
      </c>
    </row>
    <row r="1102" ht="12.75" customHeight="1">
      <c r="A1102" s="32" t="s">
        <v>221</v>
      </c>
      <c r="B1102" s="34">
        <v>5.0</v>
      </c>
      <c r="C1102" s="35">
        <v>6335.0</v>
      </c>
      <c r="D1102" s="35">
        <v>6197.0</v>
      </c>
    </row>
    <row r="1103" ht="12.75" customHeight="1">
      <c r="A1103" s="32" t="s">
        <v>221</v>
      </c>
      <c r="B1103" s="34">
        <v>6.0</v>
      </c>
      <c r="C1103" s="35">
        <v>7033.0</v>
      </c>
      <c r="D1103" s="35">
        <v>6824.0</v>
      </c>
    </row>
    <row r="1104" ht="12.75" customHeight="1">
      <c r="A1104" s="32" t="s">
        <v>221</v>
      </c>
      <c r="B1104" s="34">
        <v>7.0</v>
      </c>
      <c r="C1104" s="35">
        <v>7291.0</v>
      </c>
      <c r="D1104" s="35">
        <v>7147.0</v>
      </c>
    </row>
    <row r="1105" ht="12.75" customHeight="1">
      <c r="A1105" s="32" t="s">
        <v>221</v>
      </c>
      <c r="B1105" s="34">
        <v>8.0</v>
      </c>
      <c r="C1105" s="35">
        <v>7313.0</v>
      </c>
      <c r="D1105" s="35">
        <v>6943.0</v>
      </c>
    </row>
    <row r="1106" ht="12.75" customHeight="1">
      <c r="A1106" s="32" t="s">
        <v>221</v>
      </c>
      <c r="B1106" s="34">
        <v>9.0</v>
      </c>
      <c r="C1106" s="35">
        <v>7437.0</v>
      </c>
      <c r="D1106" s="35">
        <v>6934.0</v>
      </c>
    </row>
    <row r="1107" ht="12.75" customHeight="1">
      <c r="A1107" s="32" t="s">
        <v>221</v>
      </c>
      <c r="B1107" s="34">
        <v>10.0</v>
      </c>
      <c r="C1107" s="35">
        <v>7171.0</v>
      </c>
      <c r="D1107" s="35">
        <v>6808.0</v>
      </c>
    </row>
    <row r="1108" ht="12.75" customHeight="1">
      <c r="A1108" s="32" t="s">
        <v>221</v>
      </c>
      <c r="B1108" s="34">
        <v>11.0</v>
      </c>
      <c r="C1108" s="35">
        <v>6685.0</v>
      </c>
      <c r="D1108" s="35">
        <v>6557.0</v>
      </c>
    </row>
    <row r="1109" ht="12.75" customHeight="1">
      <c r="A1109" s="32" t="s">
        <v>221</v>
      </c>
      <c r="B1109" s="34">
        <v>12.0</v>
      </c>
      <c r="C1109" s="35">
        <v>6650.0</v>
      </c>
      <c r="D1109" s="35">
        <v>6392.0</v>
      </c>
    </row>
    <row r="1110" ht="12.75" customHeight="1">
      <c r="A1110" s="32" t="s">
        <v>221</v>
      </c>
      <c r="B1110" s="34">
        <v>13.0</v>
      </c>
      <c r="C1110" s="35">
        <v>6690.0</v>
      </c>
      <c r="D1110" s="35">
        <v>6443.0</v>
      </c>
    </row>
    <row r="1111" ht="12.75" customHeight="1">
      <c r="A1111" s="32" t="s">
        <v>221</v>
      </c>
      <c r="B1111" s="34">
        <v>14.0</v>
      </c>
      <c r="C1111" s="35">
        <v>6717.0</v>
      </c>
      <c r="D1111" s="35">
        <v>6372.0</v>
      </c>
    </row>
    <row r="1112" ht="12.75" customHeight="1">
      <c r="A1112" s="32" t="s">
        <v>257</v>
      </c>
      <c r="B1112" s="34" t="s">
        <v>395</v>
      </c>
      <c r="C1112" s="35">
        <v>5536.0</v>
      </c>
      <c r="D1112" s="35">
        <v>5311.0</v>
      </c>
    </row>
    <row r="1113" ht="12.75" customHeight="1">
      <c r="A1113" s="32" t="s">
        <v>257</v>
      </c>
      <c r="B1113" s="34">
        <v>1.0</v>
      </c>
      <c r="C1113" s="35">
        <v>5965.0</v>
      </c>
      <c r="D1113" s="35">
        <v>5823.0</v>
      </c>
    </row>
    <row r="1114" ht="12.75" customHeight="1">
      <c r="A1114" s="32" t="s">
        <v>257</v>
      </c>
      <c r="B1114" s="34">
        <v>2.0</v>
      </c>
      <c r="C1114" s="35">
        <v>6188.0</v>
      </c>
      <c r="D1114" s="35">
        <v>5821.0</v>
      </c>
    </row>
    <row r="1115" ht="12.75" customHeight="1">
      <c r="A1115" s="32" t="s">
        <v>257</v>
      </c>
      <c r="B1115" s="34">
        <v>3.0</v>
      </c>
      <c r="C1115" s="35">
        <v>6553.0</v>
      </c>
      <c r="D1115" s="35">
        <v>5780.0</v>
      </c>
    </row>
    <row r="1116" ht="12.75" customHeight="1">
      <c r="A1116" s="32" t="s">
        <v>257</v>
      </c>
      <c r="B1116" s="34">
        <v>4.0</v>
      </c>
      <c r="C1116" s="35">
        <v>6859.0</v>
      </c>
      <c r="D1116" s="35">
        <v>6471.0</v>
      </c>
    </row>
    <row r="1117" ht="12.75" customHeight="1">
      <c r="A1117" s="32" t="s">
        <v>257</v>
      </c>
      <c r="B1117" s="34">
        <v>5.0</v>
      </c>
      <c r="C1117" s="35">
        <v>6921.0</v>
      </c>
      <c r="D1117" s="35">
        <v>6552.0</v>
      </c>
    </row>
    <row r="1118" ht="12.75" customHeight="1">
      <c r="A1118" s="32" t="s">
        <v>257</v>
      </c>
      <c r="B1118" s="34">
        <v>6.0</v>
      </c>
      <c r="C1118" s="35">
        <v>7823.0</v>
      </c>
      <c r="D1118" s="35">
        <v>7650.0</v>
      </c>
    </row>
    <row r="1119" ht="12.75" customHeight="1">
      <c r="A1119" s="32" t="s">
        <v>257</v>
      </c>
      <c r="B1119" s="34">
        <v>7.0</v>
      </c>
      <c r="C1119" s="35">
        <v>8213.0</v>
      </c>
      <c r="D1119" s="35">
        <v>7873.0</v>
      </c>
    </row>
    <row r="1120" ht="12.75" customHeight="1">
      <c r="A1120" s="32" t="s">
        <v>257</v>
      </c>
      <c r="B1120" s="34">
        <v>8.0</v>
      </c>
      <c r="C1120" s="35">
        <v>8421.0</v>
      </c>
      <c r="D1120" s="35">
        <v>7838.0</v>
      </c>
    </row>
    <row r="1121" ht="12.75" customHeight="1">
      <c r="A1121" s="32" t="s">
        <v>257</v>
      </c>
      <c r="B1121" s="34">
        <v>9.0</v>
      </c>
      <c r="C1121" s="35">
        <v>8392.0</v>
      </c>
      <c r="D1121" s="35">
        <v>7891.0</v>
      </c>
    </row>
    <row r="1122" ht="12.75" customHeight="1">
      <c r="A1122" s="32" t="s">
        <v>257</v>
      </c>
      <c r="B1122" s="34">
        <v>10.0</v>
      </c>
      <c r="C1122" s="35">
        <v>8184.0</v>
      </c>
      <c r="D1122" s="35">
        <v>7939.0</v>
      </c>
    </row>
    <row r="1123" ht="12.75" customHeight="1">
      <c r="A1123" s="32" t="s">
        <v>257</v>
      </c>
      <c r="B1123" s="34">
        <v>11.0</v>
      </c>
      <c r="C1123" s="35">
        <v>8078.0</v>
      </c>
      <c r="D1123" s="35">
        <v>7848.0</v>
      </c>
    </row>
    <row r="1124" ht="12.75" customHeight="1">
      <c r="A1124" s="32" t="s">
        <v>257</v>
      </c>
      <c r="B1124" s="34">
        <v>12.0</v>
      </c>
      <c r="C1124" s="35">
        <v>8178.0</v>
      </c>
      <c r="D1124" s="35">
        <v>7764.0</v>
      </c>
    </row>
    <row r="1125" ht="12.75" customHeight="1">
      <c r="A1125" s="32" t="s">
        <v>257</v>
      </c>
      <c r="B1125" s="34">
        <v>13.0</v>
      </c>
      <c r="C1125" s="35">
        <v>8311.0</v>
      </c>
      <c r="D1125" s="35">
        <v>7916.0</v>
      </c>
    </row>
    <row r="1126" ht="12.75" customHeight="1">
      <c r="A1126" s="32" t="s">
        <v>257</v>
      </c>
      <c r="B1126" s="34">
        <v>14.0</v>
      </c>
      <c r="C1126" s="35">
        <v>8088.0</v>
      </c>
      <c r="D1126" s="35">
        <v>7647.0</v>
      </c>
    </row>
    <row r="1127" ht="12.75" customHeight="1">
      <c r="A1127" s="32" t="s">
        <v>260</v>
      </c>
      <c r="B1127" s="34" t="s">
        <v>395</v>
      </c>
      <c r="C1127" s="35">
        <v>6140.0</v>
      </c>
      <c r="D1127" s="35">
        <v>5741.0</v>
      </c>
    </row>
    <row r="1128" ht="12.75" customHeight="1">
      <c r="A1128" s="32" t="s">
        <v>260</v>
      </c>
      <c r="B1128" s="34">
        <v>1.0</v>
      </c>
      <c r="C1128" s="35">
        <v>6300.0</v>
      </c>
      <c r="D1128" s="35">
        <v>6053.0</v>
      </c>
    </row>
    <row r="1129" ht="12.75" customHeight="1">
      <c r="A1129" s="32" t="s">
        <v>260</v>
      </c>
      <c r="B1129" s="34">
        <v>2.0</v>
      </c>
      <c r="C1129" s="35">
        <v>6812.0</v>
      </c>
      <c r="D1129" s="35">
        <v>6602.0</v>
      </c>
    </row>
    <row r="1130" ht="12.75" customHeight="1">
      <c r="A1130" s="32" t="s">
        <v>260</v>
      </c>
      <c r="B1130" s="34">
        <v>3.0</v>
      </c>
      <c r="C1130" s="35">
        <v>6534.0</v>
      </c>
      <c r="D1130" s="35">
        <v>6333.0</v>
      </c>
    </row>
    <row r="1131" ht="12.75" customHeight="1">
      <c r="A1131" s="32" t="s">
        <v>260</v>
      </c>
      <c r="B1131" s="34">
        <v>4.0</v>
      </c>
      <c r="C1131" s="35">
        <v>6735.0</v>
      </c>
      <c r="D1131" s="35">
        <v>6747.0</v>
      </c>
    </row>
    <row r="1132" ht="12.75" customHeight="1">
      <c r="A1132" s="32" t="s">
        <v>260</v>
      </c>
      <c r="B1132" s="34">
        <v>5.0</v>
      </c>
      <c r="C1132" s="35">
        <v>7200.0</v>
      </c>
      <c r="D1132" s="35">
        <v>6691.0</v>
      </c>
    </row>
    <row r="1133" ht="12.75" customHeight="1">
      <c r="A1133" s="32" t="s">
        <v>260</v>
      </c>
      <c r="B1133" s="34">
        <v>6.0</v>
      </c>
      <c r="C1133" s="35">
        <v>7731.0</v>
      </c>
      <c r="D1133" s="35">
        <v>7660.0</v>
      </c>
    </row>
    <row r="1134" ht="12.75" customHeight="1">
      <c r="A1134" s="32" t="s">
        <v>260</v>
      </c>
      <c r="B1134" s="34">
        <v>7.0</v>
      </c>
      <c r="C1134" s="35">
        <v>8291.0</v>
      </c>
      <c r="D1134" s="35">
        <v>8240.0</v>
      </c>
    </row>
    <row r="1135" ht="12.75" customHeight="1">
      <c r="A1135" s="32" t="s">
        <v>260</v>
      </c>
      <c r="B1135" s="34">
        <v>8.0</v>
      </c>
      <c r="C1135" s="35">
        <v>8710.0</v>
      </c>
      <c r="D1135" s="35">
        <v>8306.0</v>
      </c>
    </row>
    <row r="1136" ht="12.75" customHeight="1">
      <c r="A1136" s="32" t="s">
        <v>260</v>
      </c>
      <c r="B1136" s="34">
        <v>9.0</v>
      </c>
      <c r="C1136" s="35">
        <v>8546.0</v>
      </c>
      <c r="D1136" s="35">
        <v>8078.0</v>
      </c>
    </row>
    <row r="1137" ht="12.75" customHeight="1">
      <c r="A1137" s="32" t="s">
        <v>260</v>
      </c>
      <c r="B1137" s="34">
        <v>10.0</v>
      </c>
      <c r="C1137" s="35">
        <v>8542.0</v>
      </c>
      <c r="D1137" s="35">
        <v>8085.0</v>
      </c>
    </row>
    <row r="1138" ht="12.75" customHeight="1">
      <c r="A1138" s="32" t="s">
        <v>260</v>
      </c>
      <c r="B1138" s="34">
        <v>11.0</v>
      </c>
      <c r="C1138" s="35">
        <v>8099.0</v>
      </c>
      <c r="D1138" s="35">
        <v>7962.0</v>
      </c>
    </row>
    <row r="1139" ht="12.75" customHeight="1">
      <c r="A1139" s="32" t="s">
        <v>260</v>
      </c>
      <c r="B1139" s="34">
        <v>12.0</v>
      </c>
      <c r="C1139" s="35">
        <v>8338.0</v>
      </c>
      <c r="D1139" s="35">
        <v>7950.0</v>
      </c>
    </row>
    <row r="1140" ht="12.75" customHeight="1">
      <c r="A1140" s="32" t="s">
        <v>260</v>
      </c>
      <c r="B1140" s="34">
        <v>13.0</v>
      </c>
      <c r="C1140" s="35">
        <v>8281.0</v>
      </c>
      <c r="D1140" s="35">
        <v>7846.0</v>
      </c>
    </row>
    <row r="1141" ht="12.75" customHeight="1">
      <c r="A1141" s="32" t="s">
        <v>260</v>
      </c>
      <c r="B1141" s="34">
        <v>14.0</v>
      </c>
      <c r="C1141" s="35">
        <v>7862.0</v>
      </c>
      <c r="D1141" s="35">
        <v>7455.0</v>
      </c>
    </row>
    <row r="1142" ht="12.75" customHeight="1">
      <c r="A1142" s="32" t="s">
        <v>251</v>
      </c>
      <c r="B1142" s="34" t="s">
        <v>395</v>
      </c>
      <c r="C1142" s="35">
        <v>5701.0</v>
      </c>
      <c r="D1142" s="35">
        <v>5355.0</v>
      </c>
    </row>
    <row r="1143" ht="12.75" customHeight="1">
      <c r="A1143" s="32" t="s">
        <v>251</v>
      </c>
      <c r="B1143" s="34">
        <v>1.0</v>
      </c>
      <c r="C1143" s="35">
        <v>5244.0</v>
      </c>
      <c r="D1143" s="35">
        <v>5285.0</v>
      </c>
    </row>
    <row r="1144" ht="12.75" customHeight="1">
      <c r="A1144" s="32" t="s">
        <v>251</v>
      </c>
      <c r="B1144" s="34">
        <v>2.0</v>
      </c>
      <c r="C1144" s="35">
        <v>5527.0</v>
      </c>
      <c r="D1144" s="35">
        <v>5388.0</v>
      </c>
    </row>
    <row r="1145" ht="12.75" customHeight="1">
      <c r="A1145" s="32" t="s">
        <v>251</v>
      </c>
      <c r="B1145" s="34">
        <v>3.0</v>
      </c>
      <c r="C1145" s="35">
        <v>5635.0</v>
      </c>
      <c r="D1145" s="35">
        <v>5562.0</v>
      </c>
    </row>
    <row r="1146" ht="12.75" customHeight="1">
      <c r="A1146" s="32" t="s">
        <v>251</v>
      </c>
      <c r="B1146" s="34">
        <v>4.0</v>
      </c>
      <c r="C1146" s="35">
        <v>6205.0</v>
      </c>
      <c r="D1146" s="35">
        <v>5936.0</v>
      </c>
    </row>
    <row r="1147" ht="12.75" customHeight="1">
      <c r="A1147" s="32" t="s">
        <v>251</v>
      </c>
      <c r="B1147" s="34">
        <v>5.0</v>
      </c>
      <c r="C1147" s="35">
        <v>6473.0</v>
      </c>
      <c r="D1147" s="35">
        <v>6349.0</v>
      </c>
    </row>
    <row r="1148" ht="12.75" customHeight="1">
      <c r="A1148" s="32" t="s">
        <v>251</v>
      </c>
      <c r="B1148" s="34">
        <v>6.0</v>
      </c>
      <c r="C1148" s="35">
        <v>7228.0</v>
      </c>
      <c r="D1148" s="35">
        <v>6827.0</v>
      </c>
    </row>
    <row r="1149" ht="12.75" customHeight="1">
      <c r="A1149" s="32" t="s">
        <v>251</v>
      </c>
      <c r="B1149" s="34">
        <v>7.0</v>
      </c>
      <c r="C1149" s="35">
        <v>7668.0</v>
      </c>
      <c r="D1149" s="35">
        <v>7335.0</v>
      </c>
    </row>
    <row r="1150" ht="12.75" customHeight="1">
      <c r="A1150" s="32" t="s">
        <v>251</v>
      </c>
      <c r="B1150" s="34">
        <v>8.0</v>
      </c>
      <c r="C1150" s="35">
        <v>8016.0</v>
      </c>
      <c r="D1150" s="35">
        <v>7663.0</v>
      </c>
    </row>
    <row r="1151" ht="12.75" customHeight="1">
      <c r="A1151" s="32" t="s">
        <v>251</v>
      </c>
      <c r="B1151" s="34">
        <v>9.0</v>
      </c>
      <c r="C1151" s="35">
        <v>7905.0</v>
      </c>
      <c r="D1151" s="35">
        <v>7481.0</v>
      </c>
    </row>
    <row r="1152" ht="12.75" customHeight="1">
      <c r="A1152" s="32" t="s">
        <v>251</v>
      </c>
      <c r="B1152" s="34">
        <v>10.0</v>
      </c>
      <c r="C1152" s="35">
        <v>8084.0</v>
      </c>
      <c r="D1152" s="35">
        <v>7505.0</v>
      </c>
    </row>
    <row r="1153" ht="12.75" customHeight="1">
      <c r="A1153" s="32" t="s">
        <v>251</v>
      </c>
      <c r="B1153" s="34">
        <v>11.0</v>
      </c>
      <c r="C1153" s="35">
        <v>7699.0</v>
      </c>
      <c r="D1153" s="35">
        <v>7175.0</v>
      </c>
    </row>
    <row r="1154" ht="12.75" customHeight="1">
      <c r="A1154" s="32" t="s">
        <v>251</v>
      </c>
      <c r="B1154" s="34">
        <v>12.0</v>
      </c>
      <c r="C1154" s="35">
        <v>7870.0</v>
      </c>
      <c r="D1154" s="35">
        <v>7271.0</v>
      </c>
    </row>
    <row r="1155" ht="12.75" customHeight="1">
      <c r="A1155" s="32" t="s">
        <v>251</v>
      </c>
      <c r="B1155" s="34">
        <v>13.0</v>
      </c>
      <c r="C1155" s="35">
        <v>7544.0</v>
      </c>
      <c r="D1155" s="35">
        <v>7297.0</v>
      </c>
    </row>
    <row r="1156" ht="12.75" customHeight="1">
      <c r="A1156" s="32" t="s">
        <v>251</v>
      </c>
      <c r="B1156" s="34">
        <v>14.0</v>
      </c>
      <c r="C1156" s="35">
        <v>7431.0</v>
      </c>
      <c r="D1156" s="35">
        <v>7239.0</v>
      </c>
    </row>
    <row r="1157" ht="12.75" customHeight="1">
      <c r="A1157" s="32" t="s">
        <v>242</v>
      </c>
      <c r="B1157" s="34" t="s">
        <v>395</v>
      </c>
      <c r="C1157" s="35">
        <v>1570.0</v>
      </c>
      <c r="D1157" s="35">
        <v>1403.0</v>
      </c>
    </row>
    <row r="1158" ht="12.75" customHeight="1">
      <c r="A1158" s="32" t="s">
        <v>242</v>
      </c>
      <c r="B1158" s="34">
        <v>1.0</v>
      </c>
      <c r="C1158" s="35">
        <v>1601.0</v>
      </c>
      <c r="D1158" s="35">
        <v>1478.0</v>
      </c>
    </row>
    <row r="1159" ht="12.75" customHeight="1">
      <c r="A1159" s="32" t="s">
        <v>242</v>
      </c>
      <c r="B1159" s="34">
        <v>2.0</v>
      </c>
      <c r="C1159" s="35">
        <v>1645.0</v>
      </c>
      <c r="D1159" s="35">
        <v>1574.0</v>
      </c>
    </row>
    <row r="1160" ht="12.75" customHeight="1">
      <c r="A1160" s="32" t="s">
        <v>242</v>
      </c>
      <c r="B1160" s="34">
        <v>3.0</v>
      </c>
      <c r="C1160" s="35">
        <v>1640.0</v>
      </c>
      <c r="D1160" s="35">
        <v>1578.0</v>
      </c>
    </row>
    <row r="1161" ht="12.75" customHeight="1">
      <c r="A1161" s="32" t="s">
        <v>242</v>
      </c>
      <c r="B1161" s="34">
        <v>4.0</v>
      </c>
      <c r="C1161" s="35">
        <v>1671.0</v>
      </c>
      <c r="D1161" s="35">
        <v>1681.0</v>
      </c>
    </row>
    <row r="1162" ht="12.75" customHeight="1">
      <c r="A1162" s="32" t="s">
        <v>242</v>
      </c>
      <c r="B1162" s="34">
        <v>5.0</v>
      </c>
      <c r="C1162" s="35">
        <v>1871.0</v>
      </c>
      <c r="D1162" s="35">
        <v>1748.0</v>
      </c>
    </row>
    <row r="1163" ht="12.75" customHeight="1">
      <c r="A1163" s="32" t="s">
        <v>242</v>
      </c>
      <c r="B1163" s="34">
        <v>6.0</v>
      </c>
      <c r="C1163" s="35">
        <v>1922.0</v>
      </c>
      <c r="D1163" s="35">
        <v>1893.0</v>
      </c>
    </row>
    <row r="1164" ht="12.75" customHeight="1">
      <c r="A1164" s="32" t="s">
        <v>242</v>
      </c>
      <c r="B1164" s="34">
        <v>7.0</v>
      </c>
      <c r="C1164" s="35">
        <v>2055.0</v>
      </c>
      <c r="D1164" s="35">
        <v>1906.0</v>
      </c>
    </row>
    <row r="1165" ht="12.75" customHeight="1">
      <c r="A1165" s="32" t="s">
        <v>242</v>
      </c>
      <c r="B1165" s="34">
        <v>8.0</v>
      </c>
      <c r="C1165" s="35">
        <v>1992.0</v>
      </c>
      <c r="D1165" s="35">
        <v>1934.0</v>
      </c>
    </row>
    <row r="1166" ht="12.75" customHeight="1">
      <c r="A1166" s="32" t="s">
        <v>242</v>
      </c>
      <c r="B1166" s="34">
        <v>9.0</v>
      </c>
      <c r="C1166" s="35">
        <v>2048.0</v>
      </c>
      <c r="D1166" s="35">
        <v>1956.0</v>
      </c>
    </row>
    <row r="1167" ht="12.75" customHeight="1">
      <c r="A1167" s="32" t="s">
        <v>242</v>
      </c>
      <c r="B1167" s="34">
        <v>10.0</v>
      </c>
      <c r="C1167" s="35">
        <v>1959.0</v>
      </c>
      <c r="D1167" s="35">
        <v>1928.0</v>
      </c>
    </row>
    <row r="1168" ht="12.75" customHeight="1">
      <c r="A1168" s="32" t="s">
        <v>242</v>
      </c>
      <c r="B1168" s="34">
        <v>11.0</v>
      </c>
      <c r="C1168" s="35">
        <v>1856.0</v>
      </c>
      <c r="D1168" s="35">
        <v>1837.0</v>
      </c>
    </row>
    <row r="1169" ht="12.75" customHeight="1">
      <c r="A1169" s="32" t="s">
        <v>242</v>
      </c>
      <c r="B1169" s="34">
        <v>12.0</v>
      </c>
      <c r="C1169" s="35">
        <v>1681.0</v>
      </c>
      <c r="D1169" s="35">
        <v>1680.0</v>
      </c>
    </row>
    <row r="1170" ht="12.75" customHeight="1">
      <c r="A1170" s="32" t="s">
        <v>242</v>
      </c>
      <c r="B1170" s="34">
        <v>13.0</v>
      </c>
      <c r="C1170" s="35">
        <v>1783.0</v>
      </c>
      <c r="D1170" s="35">
        <v>1701.0</v>
      </c>
    </row>
    <row r="1171" ht="12.75" customHeight="1">
      <c r="A1171" s="32" t="s">
        <v>242</v>
      </c>
      <c r="B1171" s="34">
        <v>14.0</v>
      </c>
      <c r="C1171" s="35">
        <v>1842.0</v>
      </c>
      <c r="D1171" s="35">
        <v>1588.0</v>
      </c>
    </row>
    <row r="1172" ht="12.75" customHeight="1">
      <c r="A1172" s="32" t="s">
        <v>233</v>
      </c>
      <c r="B1172" s="34" t="s">
        <v>395</v>
      </c>
      <c r="C1172" s="35">
        <v>8126.0</v>
      </c>
      <c r="D1172" s="35">
        <v>7972.0</v>
      </c>
    </row>
    <row r="1173" ht="12.75" customHeight="1">
      <c r="A1173" s="32" t="s">
        <v>233</v>
      </c>
      <c r="B1173" s="34">
        <v>1.0</v>
      </c>
      <c r="C1173" s="35">
        <v>8499.0</v>
      </c>
      <c r="D1173" s="35">
        <v>8142.0</v>
      </c>
    </row>
    <row r="1174" ht="12.75" customHeight="1">
      <c r="A1174" s="32" t="s">
        <v>233</v>
      </c>
      <c r="B1174" s="34">
        <v>2.0</v>
      </c>
      <c r="C1174" s="35">
        <v>8596.0</v>
      </c>
      <c r="D1174" s="35">
        <v>8645.0</v>
      </c>
    </row>
    <row r="1175" ht="12.75" customHeight="1">
      <c r="A1175" s="32" t="s">
        <v>233</v>
      </c>
      <c r="B1175" s="34">
        <v>3.0</v>
      </c>
      <c r="C1175" s="35">
        <v>8639.0</v>
      </c>
      <c r="D1175" s="35">
        <v>8572.0</v>
      </c>
    </row>
    <row r="1176" ht="12.75" customHeight="1">
      <c r="A1176" s="32" t="s">
        <v>233</v>
      </c>
      <c r="B1176" s="34">
        <v>4.0</v>
      </c>
      <c r="C1176" s="35">
        <v>9408.0</v>
      </c>
      <c r="D1176" s="35">
        <v>9352.0</v>
      </c>
    </row>
    <row r="1177" ht="12.75" customHeight="1">
      <c r="A1177" s="32" t="s">
        <v>233</v>
      </c>
      <c r="B1177" s="34">
        <v>5.0</v>
      </c>
      <c r="C1177" s="35">
        <v>9997.0</v>
      </c>
      <c r="D1177" s="35">
        <v>9645.0</v>
      </c>
    </row>
    <row r="1178" ht="12.75" customHeight="1">
      <c r="A1178" s="32" t="s">
        <v>233</v>
      </c>
      <c r="B1178" s="34">
        <v>6.0</v>
      </c>
      <c r="C1178" s="35">
        <v>11120.0</v>
      </c>
      <c r="D1178" s="35">
        <v>10698.0</v>
      </c>
    </row>
    <row r="1179" ht="12.75" customHeight="1">
      <c r="A1179" s="32" t="s">
        <v>233</v>
      </c>
      <c r="B1179" s="34">
        <v>7.0</v>
      </c>
      <c r="C1179" s="35">
        <v>11148.0</v>
      </c>
      <c r="D1179" s="35">
        <v>11526.0</v>
      </c>
    </row>
    <row r="1180" ht="12.75" customHeight="1">
      <c r="A1180" s="32" t="s">
        <v>233</v>
      </c>
      <c r="B1180" s="34">
        <v>8.0</v>
      </c>
      <c r="C1180" s="35">
        <v>11358.0</v>
      </c>
      <c r="D1180" s="35">
        <v>11178.0</v>
      </c>
    </row>
    <row r="1181" ht="12.75" customHeight="1">
      <c r="A1181" s="32" t="s">
        <v>233</v>
      </c>
      <c r="B1181" s="34">
        <v>9.0</v>
      </c>
      <c r="C1181" s="35">
        <v>11644.0</v>
      </c>
      <c r="D1181" s="35">
        <v>11027.0</v>
      </c>
    </row>
    <row r="1182" ht="12.75" customHeight="1">
      <c r="A1182" s="32" t="s">
        <v>233</v>
      </c>
      <c r="B1182" s="34">
        <v>10.0</v>
      </c>
      <c r="C1182" s="35">
        <v>11470.0</v>
      </c>
      <c r="D1182" s="35">
        <v>11302.0</v>
      </c>
    </row>
    <row r="1183" ht="12.75" customHeight="1">
      <c r="A1183" s="32" t="s">
        <v>233</v>
      </c>
      <c r="B1183" s="34">
        <v>11.0</v>
      </c>
      <c r="C1183" s="35">
        <v>10920.0</v>
      </c>
      <c r="D1183" s="35">
        <v>10478.0</v>
      </c>
    </row>
    <row r="1184" ht="12.75" customHeight="1">
      <c r="A1184" s="32" t="s">
        <v>233</v>
      </c>
      <c r="B1184" s="34">
        <v>12.0</v>
      </c>
      <c r="C1184" s="35">
        <v>11002.0</v>
      </c>
      <c r="D1184" s="35">
        <v>10054.0</v>
      </c>
    </row>
    <row r="1185" ht="12.75" customHeight="1">
      <c r="A1185" s="32" t="s">
        <v>233</v>
      </c>
      <c r="B1185" s="34">
        <v>13.0</v>
      </c>
      <c r="C1185" s="35">
        <v>10538.0</v>
      </c>
      <c r="D1185" s="35">
        <v>9920.0</v>
      </c>
    </row>
    <row r="1186" ht="12.75" customHeight="1">
      <c r="A1186" s="32" t="s">
        <v>233</v>
      </c>
      <c r="B1186" s="34">
        <v>14.0</v>
      </c>
      <c r="C1186" s="35">
        <v>9918.0</v>
      </c>
      <c r="D1186" s="35">
        <v>9596.0</v>
      </c>
    </row>
    <row r="1187" ht="12.75" customHeight="1">
      <c r="A1187" s="32" t="s">
        <v>236</v>
      </c>
      <c r="B1187" s="34" t="s">
        <v>395</v>
      </c>
      <c r="C1187" s="35">
        <v>6394.0</v>
      </c>
      <c r="D1187" s="35">
        <v>5954.0</v>
      </c>
    </row>
    <row r="1188" ht="12.75" customHeight="1">
      <c r="A1188" s="32" t="s">
        <v>236</v>
      </c>
      <c r="B1188" s="34">
        <v>1.0</v>
      </c>
      <c r="C1188" s="35">
        <v>6695.0</v>
      </c>
      <c r="D1188" s="35">
        <v>6354.0</v>
      </c>
    </row>
    <row r="1189" ht="12.75" customHeight="1">
      <c r="A1189" s="32" t="s">
        <v>236</v>
      </c>
      <c r="B1189" s="34">
        <v>2.0</v>
      </c>
      <c r="C1189" s="35">
        <v>6652.0</v>
      </c>
      <c r="D1189" s="35">
        <v>6353.0</v>
      </c>
    </row>
    <row r="1190" ht="12.75" customHeight="1">
      <c r="A1190" s="32" t="s">
        <v>236</v>
      </c>
      <c r="B1190" s="34">
        <v>3.0</v>
      </c>
      <c r="C1190" s="35">
        <v>7106.0</v>
      </c>
      <c r="D1190" s="35">
        <v>6931.0</v>
      </c>
    </row>
    <row r="1191" ht="12.75" customHeight="1">
      <c r="A1191" s="32" t="s">
        <v>236</v>
      </c>
      <c r="B1191" s="34">
        <v>4.0</v>
      </c>
      <c r="C1191" s="35">
        <v>7708.0</v>
      </c>
      <c r="D1191" s="35">
        <v>7294.0</v>
      </c>
    </row>
    <row r="1192" ht="12.75" customHeight="1">
      <c r="A1192" s="32" t="s">
        <v>236</v>
      </c>
      <c r="B1192" s="34">
        <v>5.0</v>
      </c>
      <c r="C1192" s="35">
        <v>7842.0</v>
      </c>
      <c r="D1192" s="35">
        <v>7605.0</v>
      </c>
    </row>
    <row r="1193" ht="12.75" customHeight="1">
      <c r="A1193" s="32" t="s">
        <v>236</v>
      </c>
      <c r="B1193" s="34">
        <v>6.0</v>
      </c>
      <c r="C1193" s="35">
        <v>8649.0</v>
      </c>
      <c r="D1193" s="35">
        <v>8411.0</v>
      </c>
    </row>
    <row r="1194" ht="12.75" customHeight="1">
      <c r="A1194" s="32" t="s">
        <v>236</v>
      </c>
      <c r="B1194" s="34">
        <v>7.0</v>
      </c>
      <c r="C1194" s="35">
        <v>9483.0</v>
      </c>
      <c r="D1194" s="35">
        <v>8833.0</v>
      </c>
    </row>
    <row r="1195" ht="12.75" customHeight="1">
      <c r="A1195" s="32" t="s">
        <v>236</v>
      </c>
      <c r="B1195" s="34">
        <v>8.0</v>
      </c>
      <c r="C1195" s="35">
        <v>9166.0</v>
      </c>
      <c r="D1195" s="35">
        <v>8564.0</v>
      </c>
    </row>
    <row r="1196" ht="12.75" customHeight="1">
      <c r="A1196" s="32" t="s">
        <v>236</v>
      </c>
      <c r="B1196" s="34">
        <v>9.0</v>
      </c>
      <c r="C1196" s="35">
        <v>8948.0</v>
      </c>
      <c r="D1196" s="35">
        <v>8378.0</v>
      </c>
    </row>
    <row r="1197" ht="12.75" customHeight="1">
      <c r="A1197" s="32" t="s">
        <v>236</v>
      </c>
      <c r="B1197" s="34">
        <v>10.0</v>
      </c>
      <c r="C1197" s="35">
        <v>8869.0</v>
      </c>
      <c r="D1197" s="35">
        <v>8323.0</v>
      </c>
    </row>
    <row r="1198" ht="12.75" customHeight="1">
      <c r="A1198" s="32" t="s">
        <v>236</v>
      </c>
      <c r="B1198" s="34">
        <v>11.0</v>
      </c>
      <c r="C1198" s="35">
        <v>8195.0</v>
      </c>
      <c r="D1198" s="35">
        <v>7637.0</v>
      </c>
    </row>
    <row r="1199" ht="12.75" customHeight="1">
      <c r="A1199" s="32" t="s">
        <v>236</v>
      </c>
      <c r="B1199" s="34">
        <v>12.0</v>
      </c>
      <c r="C1199" s="35">
        <v>7433.0</v>
      </c>
      <c r="D1199" s="35">
        <v>7219.0</v>
      </c>
    </row>
    <row r="1200" ht="12.75" customHeight="1">
      <c r="A1200" s="32" t="s">
        <v>236</v>
      </c>
      <c r="B1200" s="34">
        <v>13.0</v>
      </c>
      <c r="C1200" s="35">
        <v>7355.0</v>
      </c>
      <c r="D1200" s="35">
        <v>6917.0</v>
      </c>
    </row>
    <row r="1201" ht="12.75" customHeight="1">
      <c r="A1201" s="32" t="s">
        <v>236</v>
      </c>
      <c r="B1201" s="34">
        <v>14.0</v>
      </c>
      <c r="C1201" s="35">
        <v>6919.0</v>
      </c>
      <c r="D1201" s="35">
        <v>6751.0</v>
      </c>
    </row>
    <row r="1202" ht="12.75" customHeight="1">
      <c r="A1202" s="32" t="s">
        <v>239</v>
      </c>
      <c r="B1202" s="34" t="s">
        <v>395</v>
      </c>
      <c r="C1202" s="33">
        <v>3507.0</v>
      </c>
      <c r="D1202" s="33">
        <v>3417.0</v>
      </c>
    </row>
    <row r="1203" ht="12.75" customHeight="1">
      <c r="A1203" s="32" t="s">
        <v>239</v>
      </c>
      <c r="B1203" s="34">
        <v>1.0</v>
      </c>
      <c r="C1203" s="33">
        <v>3848.0</v>
      </c>
      <c r="D1203" s="33">
        <v>3470.0</v>
      </c>
    </row>
    <row r="1204" ht="12.75" customHeight="1">
      <c r="A1204" s="32" t="s">
        <v>239</v>
      </c>
      <c r="B1204" s="34">
        <v>2.0</v>
      </c>
      <c r="C1204" s="33">
        <v>3932.0</v>
      </c>
      <c r="D1204" s="33">
        <v>3790.0</v>
      </c>
    </row>
    <row r="1205" ht="12.75" customHeight="1">
      <c r="A1205" s="32" t="s">
        <v>239</v>
      </c>
      <c r="B1205" s="34">
        <v>3.0</v>
      </c>
      <c r="C1205" s="33">
        <v>4014.0</v>
      </c>
      <c r="D1205" s="33">
        <v>3858.0</v>
      </c>
    </row>
    <row r="1206" ht="12.75" customHeight="1">
      <c r="A1206" s="32" t="s">
        <v>239</v>
      </c>
      <c r="B1206" s="34">
        <v>4.0</v>
      </c>
      <c r="C1206" s="33">
        <v>4532.0</v>
      </c>
      <c r="D1206" s="33">
        <v>4191.0</v>
      </c>
    </row>
    <row r="1207" ht="12.75" customHeight="1">
      <c r="A1207" s="32" t="s">
        <v>239</v>
      </c>
      <c r="B1207" s="34">
        <v>5.0</v>
      </c>
      <c r="C1207" s="33">
        <v>4759.0</v>
      </c>
      <c r="D1207" s="33">
        <v>4570.0</v>
      </c>
    </row>
    <row r="1208" ht="12.75" customHeight="1">
      <c r="A1208" s="32" t="s">
        <v>239</v>
      </c>
      <c r="B1208" s="34">
        <v>6.0</v>
      </c>
      <c r="C1208" s="33">
        <v>5250.0</v>
      </c>
      <c r="D1208" s="33">
        <v>4889.0</v>
      </c>
    </row>
    <row r="1209" ht="12.75" customHeight="1">
      <c r="A1209" s="32" t="s">
        <v>239</v>
      </c>
      <c r="B1209" s="34">
        <v>7.0</v>
      </c>
      <c r="C1209" s="33">
        <v>5354.0</v>
      </c>
      <c r="D1209" s="33">
        <v>5203.0</v>
      </c>
    </row>
    <row r="1210" ht="12.75" customHeight="1">
      <c r="A1210" s="32" t="s">
        <v>239</v>
      </c>
      <c r="B1210" s="34">
        <v>8.0</v>
      </c>
      <c r="C1210" s="33">
        <v>5534.0</v>
      </c>
      <c r="D1210" s="33">
        <v>5278.0</v>
      </c>
    </row>
    <row r="1211" ht="12.75" customHeight="1">
      <c r="A1211" s="32" t="s">
        <v>239</v>
      </c>
      <c r="B1211" s="34">
        <v>9.0</v>
      </c>
      <c r="C1211" s="33">
        <v>5673.0</v>
      </c>
      <c r="D1211" s="33">
        <v>5329.0</v>
      </c>
    </row>
    <row r="1212" ht="12.75" customHeight="1">
      <c r="A1212" s="32" t="s">
        <v>239</v>
      </c>
      <c r="B1212" s="34">
        <v>10.0</v>
      </c>
      <c r="C1212" s="33">
        <v>5753.0</v>
      </c>
      <c r="D1212" s="33">
        <v>5477.0</v>
      </c>
    </row>
    <row r="1213" ht="12.75" customHeight="1">
      <c r="A1213" s="32" t="s">
        <v>239</v>
      </c>
      <c r="B1213" s="34">
        <v>11.0</v>
      </c>
      <c r="C1213" s="33">
        <v>5501.0</v>
      </c>
      <c r="D1213" s="33">
        <v>5167.0</v>
      </c>
    </row>
    <row r="1214" ht="12.75" customHeight="1">
      <c r="A1214" s="32" t="s">
        <v>239</v>
      </c>
      <c r="B1214" s="34">
        <v>12.0</v>
      </c>
      <c r="C1214" s="33">
        <v>5150.0</v>
      </c>
      <c r="D1214" s="33">
        <v>5011.0</v>
      </c>
    </row>
    <row r="1215" ht="12.75" customHeight="1">
      <c r="A1215" s="32" t="s">
        <v>239</v>
      </c>
      <c r="B1215" s="34">
        <v>13.0</v>
      </c>
      <c r="C1215" s="33">
        <v>4910.0</v>
      </c>
      <c r="D1215" s="33">
        <v>4700.0</v>
      </c>
    </row>
    <row r="1216" ht="12.75" customHeight="1">
      <c r="A1216" s="32" t="s">
        <v>239</v>
      </c>
      <c r="B1216" s="34">
        <v>14.0</v>
      </c>
      <c r="C1216" s="33">
        <v>5139.0</v>
      </c>
      <c r="D1216" s="33">
        <v>4982.0</v>
      </c>
    </row>
    <row r="1217" ht="12.75" customHeight="1">
      <c r="A1217" s="32" t="s">
        <v>245</v>
      </c>
      <c r="B1217" s="34" t="s">
        <v>395</v>
      </c>
      <c r="C1217" s="35">
        <v>611.0</v>
      </c>
      <c r="D1217" s="35">
        <v>566.0</v>
      </c>
    </row>
    <row r="1218" ht="12.75" customHeight="1">
      <c r="A1218" s="32" t="s">
        <v>245</v>
      </c>
      <c r="B1218" s="34">
        <v>1.0</v>
      </c>
      <c r="C1218" s="35">
        <v>602.0</v>
      </c>
      <c r="D1218" s="35">
        <v>587.0</v>
      </c>
    </row>
    <row r="1219" ht="12.75" customHeight="1">
      <c r="A1219" s="32" t="s">
        <v>245</v>
      </c>
      <c r="B1219" s="34">
        <v>2.0</v>
      </c>
      <c r="C1219" s="35">
        <v>654.0</v>
      </c>
      <c r="D1219" s="35">
        <v>666.0</v>
      </c>
    </row>
    <row r="1220" ht="12.75" customHeight="1">
      <c r="A1220" s="32" t="s">
        <v>245</v>
      </c>
      <c r="B1220" s="34">
        <v>3.0</v>
      </c>
      <c r="C1220" s="35">
        <v>642.0</v>
      </c>
      <c r="D1220" s="35">
        <v>625.0</v>
      </c>
    </row>
    <row r="1221" ht="12.75" customHeight="1">
      <c r="A1221" s="32" t="s">
        <v>245</v>
      </c>
      <c r="B1221" s="34">
        <v>4.0</v>
      </c>
      <c r="C1221" s="35">
        <v>743.0</v>
      </c>
      <c r="D1221" s="35">
        <v>699.0</v>
      </c>
    </row>
    <row r="1222" ht="12.75" customHeight="1">
      <c r="A1222" s="32" t="s">
        <v>245</v>
      </c>
      <c r="B1222" s="34">
        <v>5.0</v>
      </c>
      <c r="C1222" s="35">
        <v>791.0</v>
      </c>
      <c r="D1222" s="35">
        <v>765.0</v>
      </c>
    </row>
    <row r="1223" ht="12.75" customHeight="1">
      <c r="A1223" s="32" t="s">
        <v>245</v>
      </c>
      <c r="B1223" s="34">
        <v>6.0</v>
      </c>
      <c r="C1223" s="35">
        <v>873.0</v>
      </c>
      <c r="D1223" s="35">
        <v>731.0</v>
      </c>
    </row>
    <row r="1224" ht="12.75" customHeight="1">
      <c r="A1224" s="32" t="s">
        <v>245</v>
      </c>
      <c r="B1224" s="34">
        <v>7.0</v>
      </c>
      <c r="C1224" s="35">
        <v>894.0</v>
      </c>
      <c r="D1224" s="35">
        <v>795.0</v>
      </c>
    </row>
    <row r="1225" ht="12.75" customHeight="1">
      <c r="A1225" s="32" t="s">
        <v>245</v>
      </c>
      <c r="B1225" s="34">
        <v>8.0</v>
      </c>
      <c r="C1225" s="35">
        <v>895.0</v>
      </c>
      <c r="D1225" s="35">
        <v>837.0</v>
      </c>
    </row>
    <row r="1226" ht="12.75" customHeight="1">
      <c r="A1226" s="32" t="s">
        <v>245</v>
      </c>
      <c r="B1226" s="34">
        <v>9.0</v>
      </c>
      <c r="C1226" s="35">
        <v>892.0</v>
      </c>
      <c r="D1226" s="35">
        <v>899.0</v>
      </c>
    </row>
    <row r="1227" ht="12.75" customHeight="1">
      <c r="A1227" s="32" t="s">
        <v>245</v>
      </c>
      <c r="B1227" s="34">
        <v>10.0</v>
      </c>
      <c r="C1227" s="35">
        <v>941.0</v>
      </c>
      <c r="D1227" s="35">
        <v>869.0</v>
      </c>
    </row>
    <row r="1228" ht="12.75" customHeight="1">
      <c r="A1228" s="32" t="s">
        <v>245</v>
      </c>
      <c r="B1228" s="34">
        <v>11.0</v>
      </c>
      <c r="C1228" s="35">
        <v>921.0</v>
      </c>
      <c r="D1228" s="35">
        <v>816.0</v>
      </c>
    </row>
    <row r="1229" ht="12.75" customHeight="1">
      <c r="A1229" s="32" t="s">
        <v>245</v>
      </c>
      <c r="B1229" s="34">
        <v>12.0</v>
      </c>
      <c r="C1229" s="35">
        <v>815.0</v>
      </c>
      <c r="D1229" s="35">
        <v>779.0</v>
      </c>
    </row>
    <row r="1230" ht="12.75" customHeight="1">
      <c r="A1230" s="32" t="s">
        <v>245</v>
      </c>
      <c r="B1230" s="34">
        <v>13.0</v>
      </c>
      <c r="C1230" s="35">
        <v>812.0</v>
      </c>
      <c r="D1230" s="35">
        <v>777.0</v>
      </c>
    </row>
    <row r="1231" ht="12.75" customHeight="1">
      <c r="A1231" s="32" t="s">
        <v>245</v>
      </c>
      <c r="B1231" s="34">
        <v>14.0</v>
      </c>
      <c r="C1231" s="35">
        <v>819.0</v>
      </c>
      <c r="D1231" s="35">
        <v>784.0</v>
      </c>
    </row>
    <row r="1232" ht="12.75" customHeight="1">
      <c r="A1232" s="32" t="s">
        <v>248</v>
      </c>
      <c r="B1232" s="34" t="s">
        <v>395</v>
      </c>
      <c r="C1232" s="35">
        <v>2485.0</v>
      </c>
      <c r="D1232" s="35">
        <v>2457.0</v>
      </c>
    </row>
    <row r="1233" ht="12.75" customHeight="1">
      <c r="A1233" s="32" t="s">
        <v>248</v>
      </c>
      <c r="B1233" s="34">
        <v>1.0</v>
      </c>
      <c r="C1233" s="35">
        <v>1933.0</v>
      </c>
      <c r="D1233" s="35">
        <v>2432.0</v>
      </c>
    </row>
    <row r="1234" ht="12.75" customHeight="1">
      <c r="A1234" s="32" t="s">
        <v>248</v>
      </c>
      <c r="B1234" s="34">
        <v>2.0</v>
      </c>
      <c r="C1234" s="35">
        <v>2346.0</v>
      </c>
      <c r="D1234" s="35">
        <v>2236.0</v>
      </c>
    </row>
    <row r="1235" ht="12.75" customHeight="1">
      <c r="A1235" s="32" t="s">
        <v>248</v>
      </c>
      <c r="B1235" s="34">
        <v>3.0</v>
      </c>
      <c r="C1235" s="35">
        <v>2618.0</v>
      </c>
      <c r="D1235" s="35">
        <v>2701.0</v>
      </c>
    </row>
    <row r="1236" ht="12.75" customHeight="1">
      <c r="A1236" s="32" t="s">
        <v>248</v>
      </c>
      <c r="B1236" s="34">
        <v>4.0</v>
      </c>
      <c r="C1236" s="35">
        <v>2878.0</v>
      </c>
      <c r="D1236" s="35">
        <v>2266.0</v>
      </c>
    </row>
    <row r="1237" ht="12.75" customHeight="1">
      <c r="A1237" s="32" t="s">
        <v>248</v>
      </c>
      <c r="B1237" s="34">
        <v>5.0</v>
      </c>
      <c r="C1237" s="35">
        <v>3003.0</v>
      </c>
      <c r="D1237" s="35">
        <v>3080.0</v>
      </c>
    </row>
    <row r="1238" ht="12.75" customHeight="1">
      <c r="A1238" s="32" t="s">
        <v>248</v>
      </c>
      <c r="B1238" s="34">
        <v>6.0</v>
      </c>
      <c r="C1238" s="35">
        <v>3396.0</v>
      </c>
      <c r="D1238" s="35">
        <v>3338.0</v>
      </c>
    </row>
    <row r="1239" ht="12.75" customHeight="1">
      <c r="A1239" s="32" t="s">
        <v>248</v>
      </c>
      <c r="B1239" s="34">
        <v>7.0</v>
      </c>
      <c r="C1239" s="35">
        <v>2763.0</v>
      </c>
      <c r="D1239" s="35">
        <v>2674.0</v>
      </c>
    </row>
    <row r="1240" ht="12.75" customHeight="1">
      <c r="A1240" s="32" t="s">
        <v>248</v>
      </c>
      <c r="B1240" s="34">
        <v>8.0</v>
      </c>
      <c r="C1240" s="35">
        <v>2689.0</v>
      </c>
      <c r="D1240" s="35">
        <v>2512.0</v>
      </c>
    </row>
    <row r="1241" ht="12.75" customHeight="1">
      <c r="A1241" s="32" t="s">
        <v>248</v>
      </c>
      <c r="B1241" s="34">
        <v>9.0</v>
      </c>
      <c r="C1241" s="35">
        <v>2657.0</v>
      </c>
      <c r="D1241" s="35">
        <v>2504.0</v>
      </c>
    </row>
    <row r="1242" ht="12.75" customHeight="1">
      <c r="A1242" s="32" t="s">
        <v>248</v>
      </c>
      <c r="B1242" s="34">
        <v>10.0</v>
      </c>
      <c r="C1242" s="35">
        <v>2459.0</v>
      </c>
      <c r="D1242" s="35">
        <v>2551.0</v>
      </c>
    </row>
    <row r="1243" ht="12.75" customHeight="1">
      <c r="A1243" s="32" t="s">
        <v>248</v>
      </c>
      <c r="B1243" s="34">
        <v>11.0</v>
      </c>
      <c r="C1243" s="35">
        <v>2470.0</v>
      </c>
      <c r="D1243" s="35">
        <v>2349.0</v>
      </c>
    </row>
    <row r="1244" ht="12.75" customHeight="1">
      <c r="A1244" s="32" t="s">
        <v>248</v>
      </c>
      <c r="B1244" s="34">
        <v>12.0</v>
      </c>
      <c r="C1244" s="35">
        <v>2582.0</v>
      </c>
      <c r="D1244" s="35">
        <v>2522.0</v>
      </c>
    </row>
    <row r="1245" ht="12.75" customHeight="1">
      <c r="A1245" s="32" t="s">
        <v>248</v>
      </c>
      <c r="B1245" s="34">
        <v>13.0</v>
      </c>
      <c r="C1245" s="35">
        <v>2494.0</v>
      </c>
      <c r="D1245" s="35">
        <v>2365.0</v>
      </c>
    </row>
    <row r="1246" ht="12.75" customHeight="1">
      <c r="A1246" s="32" t="s">
        <v>248</v>
      </c>
      <c r="B1246" s="34">
        <v>14.0</v>
      </c>
      <c r="C1246" s="35">
        <v>2513.0</v>
      </c>
      <c r="D1246" s="35">
        <v>2491.0</v>
      </c>
    </row>
    <row r="1247" ht="12.75" customHeight="1">
      <c r="A1247" s="32" t="s">
        <v>263</v>
      </c>
      <c r="B1247" s="34" t="s">
        <v>395</v>
      </c>
      <c r="C1247" s="35">
        <v>734.0</v>
      </c>
      <c r="D1247" s="35">
        <v>674.0</v>
      </c>
    </row>
    <row r="1248" ht="12.75" customHeight="1">
      <c r="A1248" s="32" t="s">
        <v>263</v>
      </c>
      <c r="B1248" s="34">
        <v>1.0</v>
      </c>
      <c r="C1248" s="35">
        <v>776.0</v>
      </c>
      <c r="D1248" s="35">
        <v>734.0</v>
      </c>
    </row>
    <row r="1249" ht="12.75" customHeight="1">
      <c r="A1249" s="32" t="s">
        <v>263</v>
      </c>
      <c r="B1249" s="34">
        <v>2.0</v>
      </c>
      <c r="C1249" s="35">
        <v>841.0</v>
      </c>
      <c r="D1249" s="35">
        <v>745.0</v>
      </c>
    </row>
    <row r="1250" ht="12.75" customHeight="1">
      <c r="A1250" s="32" t="s">
        <v>263</v>
      </c>
      <c r="B1250" s="34">
        <v>3.0</v>
      </c>
      <c r="C1250" s="35">
        <v>852.0</v>
      </c>
      <c r="D1250" s="35">
        <v>771.0</v>
      </c>
    </row>
    <row r="1251" ht="12.75" customHeight="1">
      <c r="A1251" s="32" t="s">
        <v>263</v>
      </c>
      <c r="B1251" s="34">
        <v>4.0</v>
      </c>
      <c r="C1251" s="35">
        <v>902.0</v>
      </c>
      <c r="D1251" s="35">
        <v>868.0</v>
      </c>
    </row>
    <row r="1252" ht="12.75" customHeight="1">
      <c r="A1252" s="32" t="s">
        <v>263</v>
      </c>
      <c r="B1252" s="34">
        <v>5.0</v>
      </c>
      <c r="C1252" s="35">
        <v>951.0</v>
      </c>
      <c r="D1252" s="35">
        <v>872.0</v>
      </c>
    </row>
    <row r="1253" ht="12.75" customHeight="1">
      <c r="A1253" s="32" t="s">
        <v>263</v>
      </c>
      <c r="B1253" s="34">
        <v>6.0</v>
      </c>
      <c r="C1253" s="35">
        <v>1034.0</v>
      </c>
      <c r="D1253" s="35">
        <v>1004.0</v>
      </c>
    </row>
    <row r="1254" ht="12.75" customHeight="1">
      <c r="A1254" s="32" t="s">
        <v>263</v>
      </c>
      <c r="B1254" s="34">
        <v>7.0</v>
      </c>
      <c r="C1254" s="35">
        <v>1121.0</v>
      </c>
      <c r="D1254" s="35">
        <v>1020.0</v>
      </c>
    </row>
    <row r="1255" ht="12.75" customHeight="1">
      <c r="A1255" s="32" t="s">
        <v>263</v>
      </c>
      <c r="B1255" s="34">
        <v>8.0</v>
      </c>
      <c r="C1255" s="35">
        <v>1011.0</v>
      </c>
      <c r="D1255" s="35">
        <v>945.0</v>
      </c>
    </row>
    <row r="1256" ht="12.75" customHeight="1">
      <c r="A1256" s="32" t="s">
        <v>263</v>
      </c>
      <c r="B1256" s="34">
        <v>9.0</v>
      </c>
      <c r="C1256" s="35">
        <v>1012.0</v>
      </c>
      <c r="D1256" s="35">
        <v>988.0</v>
      </c>
    </row>
    <row r="1257" ht="12.75" customHeight="1">
      <c r="A1257" s="32" t="s">
        <v>263</v>
      </c>
      <c r="B1257" s="34">
        <v>10.0</v>
      </c>
      <c r="C1257" s="35">
        <v>1055.0</v>
      </c>
      <c r="D1257" s="35">
        <v>1027.0</v>
      </c>
    </row>
    <row r="1258" ht="12.75" customHeight="1">
      <c r="A1258" s="32" t="s">
        <v>263</v>
      </c>
      <c r="B1258" s="34">
        <v>11.0</v>
      </c>
      <c r="C1258" s="35">
        <v>964.0</v>
      </c>
      <c r="D1258" s="35">
        <v>1043.0</v>
      </c>
    </row>
    <row r="1259" ht="12.75" customHeight="1">
      <c r="A1259" s="32" t="s">
        <v>263</v>
      </c>
      <c r="B1259" s="34">
        <v>12.0</v>
      </c>
      <c r="C1259" s="35">
        <v>967.0</v>
      </c>
      <c r="D1259" s="35">
        <v>936.0</v>
      </c>
    </row>
    <row r="1260" ht="12.75" customHeight="1">
      <c r="A1260" s="32" t="s">
        <v>263</v>
      </c>
      <c r="B1260" s="34">
        <v>13.0</v>
      </c>
      <c r="C1260" s="35">
        <v>970.0</v>
      </c>
      <c r="D1260" s="35">
        <v>885.0</v>
      </c>
    </row>
    <row r="1261" ht="12.75" customHeight="1">
      <c r="A1261" s="32" t="s">
        <v>263</v>
      </c>
      <c r="B1261" s="34">
        <v>14.0</v>
      </c>
      <c r="C1261" s="35">
        <v>1107.0</v>
      </c>
      <c r="D1261" s="35">
        <v>1041.0</v>
      </c>
    </row>
    <row r="1262" ht="12.75" customHeight="1">
      <c r="A1262" s="32" t="s">
        <v>254</v>
      </c>
      <c r="B1262" s="34" t="s">
        <v>395</v>
      </c>
      <c r="C1262" s="35">
        <v>250.0</v>
      </c>
      <c r="D1262" s="35">
        <v>264.0</v>
      </c>
    </row>
    <row r="1263" ht="12.75" customHeight="1">
      <c r="A1263" s="32" t="s">
        <v>254</v>
      </c>
      <c r="B1263" s="34">
        <v>1.0</v>
      </c>
      <c r="C1263" s="35">
        <v>265.0</v>
      </c>
      <c r="D1263" s="35">
        <v>247.0</v>
      </c>
    </row>
    <row r="1264" ht="12.75" customHeight="1">
      <c r="A1264" s="32" t="s">
        <v>254</v>
      </c>
      <c r="B1264" s="34">
        <v>2.0</v>
      </c>
      <c r="C1264" s="35">
        <v>294.0</v>
      </c>
      <c r="D1264" s="35">
        <v>260.0</v>
      </c>
    </row>
    <row r="1265" ht="12.75" customHeight="1">
      <c r="A1265" s="32" t="s">
        <v>254</v>
      </c>
      <c r="B1265" s="34">
        <v>3.0</v>
      </c>
      <c r="C1265" s="35">
        <v>277.0</v>
      </c>
      <c r="D1265" s="35">
        <v>302.0</v>
      </c>
    </row>
    <row r="1266" ht="12.75" customHeight="1">
      <c r="A1266" s="32" t="s">
        <v>254</v>
      </c>
      <c r="B1266" s="34">
        <v>4.0</v>
      </c>
      <c r="C1266" s="35">
        <v>333.0</v>
      </c>
      <c r="D1266" s="35">
        <v>331.0</v>
      </c>
    </row>
    <row r="1267" ht="12.75" customHeight="1">
      <c r="A1267" s="32" t="s">
        <v>254</v>
      </c>
      <c r="B1267" s="34">
        <v>5.0</v>
      </c>
      <c r="C1267" s="35">
        <v>350.0</v>
      </c>
      <c r="D1267" s="35">
        <v>334.0</v>
      </c>
    </row>
    <row r="1268" ht="12.75" customHeight="1">
      <c r="A1268" s="32" t="s">
        <v>254</v>
      </c>
      <c r="B1268" s="34">
        <v>6.0</v>
      </c>
      <c r="C1268" s="35">
        <v>380.0</v>
      </c>
      <c r="D1268" s="35">
        <v>320.0</v>
      </c>
    </row>
    <row r="1269" ht="12.75" customHeight="1">
      <c r="A1269" s="32" t="s">
        <v>254</v>
      </c>
      <c r="B1269" s="34">
        <v>7.0</v>
      </c>
      <c r="C1269" s="35">
        <v>353.0</v>
      </c>
      <c r="D1269" s="35">
        <v>381.0</v>
      </c>
    </row>
    <row r="1270" ht="12.75" customHeight="1">
      <c r="A1270" s="32" t="s">
        <v>254</v>
      </c>
      <c r="B1270" s="34">
        <v>8.0</v>
      </c>
      <c r="C1270" s="35">
        <v>365.0</v>
      </c>
      <c r="D1270" s="35">
        <v>356.0</v>
      </c>
    </row>
    <row r="1271" ht="12.75" customHeight="1">
      <c r="A1271" s="32" t="s">
        <v>254</v>
      </c>
      <c r="B1271" s="34">
        <v>9.0</v>
      </c>
      <c r="C1271" s="35">
        <v>344.0</v>
      </c>
      <c r="D1271" s="35">
        <v>353.0</v>
      </c>
    </row>
    <row r="1272" ht="12.75" customHeight="1">
      <c r="A1272" s="32" t="s">
        <v>254</v>
      </c>
      <c r="B1272" s="34">
        <v>10.0</v>
      </c>
      <c r="C1272" s="35">
        <v>359.0</v>
      </c>
      <c r="D1272" s="35">
        <v>361.0</v>
      </c>
    </row>
    <row r="1273" ht="12.75" customHeight="1">
      <c r="A1273" s="32" t="s">
        <v>254</v>
      </c>
      <c r="B1273" s="34">
        <v>11.0</v>
      </c>
      <c r="C1273" s="35">
        <v>365.0</v>
      </c>
      <c r="D1273" s="35">
        <v>315.0</v>
      </c>
    </row>
    <row r="1274" ht="12.75" customHeight="1">
      <c r="A1274" s="32" t="s">
        <v>254</v>
      </c>
      <c r="B1274" s="34">
        <v>12.0</v>
      </c>
      <c r="C1274" s="35">
        <v>346.0</v>
      </c>
      <c r="D1274" s="35">
        <v>371.0</v>
      </c>
    </row>
    <row r="1275" ht="12.75" customHeight="1">
      <c r="A1275" s="32" t="s">
        <v>254</v>
      </c>
      <c r="B1275" s="34">
        <v>13.0</v>
      </c>
      <c r="C1275" s="35">
        <v>335.0</v>
      </c>
      <c r="D1275" s="35">
        <v>365.0</v>
      </c>
    </row>
    <row r="1276" ht="12.75" customHeight="1">
      <c r="A1276" s="32" t="s">
        <v>254</v>
      </c>
      <c r="B1276" s="34">
        <v>14.0</v>
      </c>
      <c r="C1276" s="35">
        <v>395.0</v>
      </c>
      <c r="D1276" s="35">
        <v>346.0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75"/>
  <cols>
    <col customWidth="1" min="1" max="22" width="7.63"/>
  </cols>
  <sheetData>
    <row r="1" ht="12.75" customHeight="1">
      <c r="A1" s="4" t="s">
        <v>392</v>
      </c>
      <c r="B1" s="4" t="s">
        <v>393</v>
      </c>
      <c r="C1" s="4" t="s">
        <v>394</v>
      </c>
    </row>
    <row r="2" ht="12.75" customHeight="1">
      <c r="A2" s="6" t="s">
        <v>410</v>
      </c>
      <c r="B2" s="4">
        <v>3703931.0</v>
      </c>
      <c r="C2" s="4">
        <v>3491374.0</v>
      </c>
    </row>
    <row r="3" ht="12.75" customHeight="1">
      <c r="A3" s="6" t="s">
        <v>411</v>
      </c>
      <c r="B3" s="4">
        <v>4820359.0</v>
      </c>
      <c r="C3" s="4">
        <v>4552910.0</v>
      </c>
    </row>
    <row r="4" ht="12.75" customHeight="1">
      <c r="A4" s="6" t="s">
        <v>412</v>
      </c>
      <c r="B4" s="4">
        <v>4613032.0</v>
      </c>
      <c r="C4" s="4">
        <v>4359182.0</v>
      </c>
    </row>
    <row r="5" ht="12.75" customHeight="1">
      <c r="A5" s="9"/>
      <c r="B5" s="9"/>
      <c r="C5" s="9"/>
    </row>
    <row r="6" ht="12.75" customHeight="1">
      <c r="A6" s="9"/>
      <c r="B6" s="9"/>
      <c r="C6" s="9"/>
    </row>
    <row r="7" ht="12.75" customHeight="1">
      <c r="A7" s="9"/>
      <c r="B7" s="9"/>
      <c r="C7" s="9"/>
    </row>
    <row r="8" ht="12.75" customHeight="1">
      <c r="A8" s="9"/>
      <c r="B8" s="9"/>
      <c r="C8" s="9"/>
    </row>
    <row r="9" ht="12.75" customHeight="1">
      <c r="A9" s="9"/>
      <c r="B9" s="9"/>
      <c r="C9" s="4" t="s">
        <v>413</v>
      </c>
    </row>
    <row r="10" ht="12.75" customHeight="1">
      <c r="A10" s="9"/>
      <c r="B10" s="9"/>
      <c r="C10" s="9"/>
    </row>
    <row r="11" ht="12.75" customHeight="1">
      <c r="A11" s="9"/>
      <c r="B11" s="9"/>
      <c r="C11" s="9"/>
    </row>
    <row r="12" ht="12.75" customHeight="1">
      <c r="A12" s="9"/>
      <c r="B12" s="9"/>
      <c r="C12" s="9"/>
    </row>
    <row r="13" ht="12.75" customHeight="1">
      <c r="A13" s="9"/>
      <c r="B13" s="9"/>
      <c r="C13" s="9"/>
    </row>
    <row r="14" ht="12.75" customHeight="1">
      <c r="A14" s="9"/>
      <c r="B14" s="9"/>
      <c r="C14" s="9"/>
    </row>
    <row r="15" ht="12.75" customHeight="1">
      <c r="A15" s="9"/>
      <c r="B15" s="9"/>
      <c r="C15" s="9"/>
    </row>
    <row r="16" ht="12.75" customHeight="1">
      <c r="A16" s="9"/>
      <c r="B16" s="9"/>
      <c r="C16" s="9"/>
    </row>
    <row r="17" ht="12.75" customHeight="1">
      <c r="A17" s="9"/>
      <c r="B17" s="9"/>
      <c r="C17" s="9"/>
    </row>
    <row r="18" ht="12.75" customHeight="1">
      <c r="A18" s="9"/>
      <c r="B18" s="9"/>
      <c r="C18" s="9"/>
    </row>
    <row r="19" ht="12.75" customHeight="1">
      <c r="A19" s="9"/>
      <c r="B19" s="9"/>
      <c r="C19" s="9"/>
    </row>
    <row r="20" ht="12.75" customHeight="1">
      <c r="A20" s="9"/>
      <c r="B20" s="9"/>
      <c r="C20" s="9"/>
    </row>
    <row r="21" ht="12.75" customHeight="1">
      <c r="A21" s="9"/>
      <c r="B21" s="9"/>
      <c r="C21" s="9"/>
    </row>
    <row r="22" ht="12.75" customHeight="1">
      <c r="A22" s="9"/>
      <c r="B22" s="9"/>
      <c r="C22" s="9"/>
    </row>
    <row r="23" ht="12.75" customHeight="1">
      <c r="A23" s="9"/>
      <c r="B23" s="9"/>
      <c r="C23" s="9"/>
    </row>
    <row r="24" ht="12.75" customHeight="1">
      <c r="A24" s="9"/>
      <c r="B24" s="9"/>
      <c r="C24" s="9"/>
    </row>
    <row r="25" ht="12.75" customHeight="1">
      <c r="A25" s="9"/>
      <c r="B25" s="9"/>
      <c r="C25" s="9"/>
    </row>
    <row r="26" ht="12.75" customHeight="1">
      <c r="A26" s="9"/>
      <c r="B26" s="9"/>
      <c r="C26" s="9"/>
    </row>
    <row r="27" ht="12.75" customHeight="1">
      <c r="A27" s="9"/>
      <c r="B27" s="9"/>
      <c r="C27" s="9"/>
    </row>
    <row r="28" ht="12.75" customHeight="1">
      <c r="A28" s="9"/>
      <c r="B28" s="9"/>
      <c r="C28" s="9"/>
    </row>
    <row r="29" ht="12.75" customHeight="1">
      <c r="A29" s="9"/>
      <c r="B29" s="9"/>
      <c r="C29" s="9"/>
    </row>
    <row r="30" ht="12.75" customHeight="1">
      <c r="A30" s="9"/>
      <c r="B30" s="9"/>
      <c r="C30" s="9"/>
    </row>
    <row r="31" ht="12.75" customHeight="1">
      <c r="A31" s="9"/>
      <c r="B31" s="9"/>
      <c r="C31" s="9"/>
    </row>
    <row r="32" ht="12.75" customHeight="1">
      <c r="A32" s="9"/>
      <c r="B32" s="9"/>
      <c r="C32" s="9"/>
    </row>
    <row r="33" ht="12.75" customHeight="1">
      <c r="A33" s="9"/>
      <c r="B33" s="9"/>
      <c r="C33" s="9"/>
    </row>
    <row r="34" ht="12.75" customHeight="1">
      <c r="A34" s="9"/>
      <c r="B34" s="9"/>
      <c r="C34" s="9"/>
    </row>
    <row r="35" ht="12.75" customHeight="1">
      <c r="A35" s="9"/>
      <c r="B35" s="9"/>
      <c r="C35" s="9"/>
    </row>
    <row r="36" ht="12.75" customHeight="1">
      <c r="A36" s="9"/>
      <c r="B36" s="9"/>
      <c r="C36" s="9"/>
    </row>
    <row r="37" ht="12.75" customHeight="1">
      <c r="A37" s="9"/>
      <c r="B37" s="9"/>
      <c r="C37" s="9"/>
    </row>
    <row r="38" ht="12.75" customHeight="1">
      <c r="A38" s="9"/>
      <c r="B38" s="9"/>
      <c r="C38" s="9"/>
    </row>
    <row r="39" ht="12.75" customHeight="1">
      <c r="A39" s="9"/>
      <c r="B39" s="9"/>
      <c r="C39" s="9"/>
    </row>
    <row r="40" ht="12.75" customHeight="1">
      <c r="A40" s="9"/>
      <c r="B40" s="9"/>
      <c r="C40" s="9"/>
    </row>
    <row r="41" ht="12.75" customHeight="1">
      <c r="A41" s="9"/>
      <c r="B41" s="9"/>
      <c r="C41" s="9"/>
    </row>
    <row r="42" ht="12.75" customHeight="1">
      <c r="A42" s="9"/>
      <c r="B42" s="9"/>
      <c r="C42" s="9"/>
    </row>
    <row r="43" ht="12.75" customHeight="1">
      <c r="A43" s="9"/>
      <c r="B43" s="9"/>
      <c r="C43" s="9"/>
    </row>
    <row r="44" ht="12.75" customHeight="1">
      <c r="A44" s="9"/>
      <c r="B44" s="9"/>
      <c r="C44" s="9"/>
    </row>
    <row r="45" ht="12.75" customHeight="1">
      <c r="A45" s="9"/>
      <c r="B45" s="9"/>
      <c r="C45" s="9"/>
    </row>
    <row r="46" ht="12.75" customHeight="1">
      <c r="A46" s="9"/>
      <c r="B46" s="9"/>
      <c r="C46" s="9"/>
    </row>
    <row r="47" ht="12.75" customHeight="1">
      <c r="A47" s="9"/>
      <c r="B47" s="9"/>
      <c r="C47" s="9"/>
    </row>
    <row r="48" ht="12.75" customHeight="1">
      <c r="A48" s="9"/>
      <c r="B48" s="9"/>
      <c r="C48" s="9"/>
    </row>
    <row r="49" ht="12.75" customHeight="1">
      <c r="A49" s="9"/>
      <c r="B49" s="9"/>
      <c r="C49" s="9"/>
    </row>
    <row r="50" ht="12.75" customHeight="1">
      <c r="A50" s="9"/>
      <c r="B50" s="9"/>
      <c r="C50" s="9"/>
    </row>
    <row r="51" ht="12.75" customHeight="1">
      <c r="A51" s="9"/>
      <c r="B51" s="9"/>
      <c r="C51" s="9"/>
    </row>
    <row r="52" ht="12.75" customHeight="1">
      <c r="A52" s="9"/>
      <c r="B52" s="9"/>
      <c r="C52" s="9"/>
    </row>
    <row r="53" ht="12.75" customHeight="1">
      <c r="A53" s="9"/>
      <c r="B53" s="9"/>
      <c r="C53" s="9"/>
    </row>
    <row r="54" ht="12.75" customHeight="1">
      <c r="A54" s="9"/>
      <c r="B54" s="9"/>
      <c r="C54" s="9"/>
    </row>
    <row r="55" ht="12.75" customHeight="1">
      <c r="A55" s="9"/>
      <c r="B55" s="9"/>
      <c r="C55" s="9"/>
    </row>
    <row r="56" ht="12.75" customHeight="1">
      <c r="A56" s="9"/>
      <c r="B56" s="9"/>
      <c r="C56" s="9"/>
    </row>
    <row r="57" ht="12.75" customHeight="1">
      <c r="A57" s="9"/>
      <c r="B57" s="9"/>
      <c r="C57" s="9"/>
    </row>
    <row r="58" ht="12.75" customHeight="1">
      <c r="A58" s="9"/>
      <c r="B58" s="9"/>
      <c r="C58" s="9"/>
    </row>
    <row r="59" ht="12.75" customHeight="1">
      <c r="A59" s="9"/>
      <c r="B59" s="9"/>
      <c r="C59" s="9"/>
    </row>
    <row r="60" ht="12.75" customHeight="1">
      <c r="A60" s="9"/>
      <c r="B60" s="9"/>
      <c r="C60" s="9"/>
    </row>
    <row r="61" ht="12.75" customHeight="1">
      <c r="A61" s="9"/>
      <c r="B61" s="9"/>
      <c r="C61" s="9"/>
    </row>
    <row r="62" ht="12.75" customHeight="1">
      <c r="A62" s="9"/>
      <c r="B62" s="9"/>
      <c r="C62" s="9"/>
    </row>
    <row r="63" ht="12.75" customHeight="1">
      <c r="A63" s="9"/>
      <c r="B63" s="9"/>
      <c r="C63" s="9"/>
    </row>
    <row r="64" ht="12.75" customHeight="1">
      <c r="A64" s="9"/>
      <c r="B64" s="9"/>
      <c r="C64" s="9"/>
    </row>
    <row r="65" ht="12.75" customHeight="1">
      <c r="A65" s="9"/>
      <c r="B65" s="9"/>
      <c r="C65" s="9"/>
    </row>
    <row r="66" ht="12.75" customHeight="1">
      <c r="A66" s="9"/>
      <c r="B66" s="9"/>
      <c r="C66" s="9"/>
    </row>
    <row r="67" ht="12.75" customHeight="1">
      <c r="A67" s="9"/>
      <c r="B67" s="9"/>
      <c r="C67" s="9"/>
    </row>
    <row r="68" ht="12.75" customHeight="1">
      <c r="A68" s="9"/>
      <c r="B68" s="9"/>
      <c r="C68" s="9"/>
    </row>
    <row r="69" ht="12.75" customHeight="1">
      <c r="A69" s="9"/>
      <c r="B69" s="9"/>
      <c r="C69" s="9"/>
    </row>
    <row r="70" ht="12.75" customHeight="1">
      <c r="A70" s="9"/>
      <c r="B70" s="9"/>
      <c r="C70" s="9"/>
    </row>
    <row r="71" ht="12.75" customHeight="1">
      <c r="A71" s="9"/>
      <c r="B71" s="9"/>
      <c r="C71" s="9"/>
    </row>
    <row r="72" ht="12.75" customHeight="1">
      <c r="A72" s="9"/>
      <c r="B72" s="9"/>
      <c r="C72" s="9"/>
    </row>
    <row r="73" ht="12.75" customHeight="1">
      <c r="A73" s="9"/>
      <c r="B73" s="9"/>
      <c r="C73" s="9"/>
    </row>
    <row r="74" ht="12.75" customHeight="1">
      <c r="A74" s="9"/>
      <c r="B74" s="9"/>
      <c r="C74" s="9"/>
    </row>
    <row r="75" ht="12.75" customHeight="1">
      <c r="A75" s="9"/>
      <c r="B75" s="9"/>
      <c r="C75" s="9"/>
    </row>
    <row r="76" ht="12.75" customHeight="1">
      <c r="A76" s="9"/>
      <c r="B76" s="9"/>
      <c r="C76" s="9"/>
    </row>
    <row r="77" ht="12.75" customHeight="1">
      <c r="A77" s="9"/>
      <c r="B77" s="9"/>
      <c r="C77" s="9"/>
    </row>
    <row r="78" ht="12.75" customHeight="1">
      <c r="A78" s="9"/>
      <c r="B78" s="9"/>
      <c r="C78" s="9"/>
    </row>
    <row r="79" ht="12.75" customHeight="1">
      <c r="A79" s="9"/>
      <c r="B79" s="9"/>
      <c r="C79" s="9"/>
    </row>
    <row r="80" ht="12.75" customHeight="1">
      <c r="A80" s="9"/>
      <c r="B80" s="9"/>
      <c r="C80" s="9"/>
    </row>
    <row r="81" ht="12.75" customHeight="1">
      <c r="A81" s="9"/>
      <c r="B81" s="9"/>
      <c r="C81" s="9"/>
    </row>
    <row r="82" ht="12.75" customHeight="1">
      <c r="A82" s="9"/>
      <c r="B82" s="9"/>
      <c r="C82" s="9"/>
    </row>
    <row r="83" ht="12.75" customHeight="1">
      <c r="A83" s="9"/>
      <c r="B83" s="9"/>
      <c r="C83" s="9"/>
    </row>
    <row r="84" ht="12.75" customHeight="1">
      <c r="A84" s="9"/>
      <c r="B84" s="9"/>
      <c r="C84" s="9"/>
    </row>
    <row r="85" ht="12.75" customHeight="1">
      <c r="A85" s="9"/>
      <c r="B85" s="9"/>
      <c r="C85" s="9"/>
    </row>
    <row r="86" ht="12.75" customHeight="1">
      <c r="A86" s="9"/>
      <c r="B86" s="9"/>
      <c r="C86" s="9"/>
    </row>
    <row r="87" ht="12.75" customHeight="1">
      <c r="A87" s="9"/>
      <c r="B87" s="9"/>
      <c r="C87" s="9"/>
    </row>
    <row r="88" ht="12.75" customHeight="1">
      <c r="A88" s="9"/>
      <c r="B88" s="9"/>
      <c r="C88" s="9"/>
    </row>
    <row r="89" ht="12.75" customHeight="1">
      <c r="A89" s="9"/>
      <c r="B89" s="9"/>
      <c r="C89" s="9"/>
    </row>
    <row r="90" ht="12.75" customHeight="1">
      <c r="A90" s="9"/>
      <c r="B90" s="9"/>
      <c r="C90" s="9"/>
    </row>
    <row r="91" ht="12.75" customHeight="1">
      <c r="A91" s="9"/>
      <c r="B91" s="9"/>
      <c r="C91" s="9"/>
    </row>
    <row r="92" ht="12.75" customHeight="1">
      <c r="A92" s="9"/>
      <c r="B92" s="9"/>
      <c r="C92" s="9"/>
    </row>
    <row r="93" ht="12.75" customHeight="1">
      <c r="A93" s="9"/>
      <c r="B93" s="9"/>
      <c r="C93" s="9"/>
    </row>
    <row r="94" ht="12.75" customHeight="1">
      <c r="A94" s="9"/>
      <c r="B94" s="9"/>
      <c r="C94" s="9"/>
    </row>
    <row r="95" ht="12.75" customHeight="1">
      <c r="A95" s="9"/>
      <c r="B95" s="9"/>
      <c r="C95" s="9"/>
    </row>
    <row r="96" ht="12.75" customHeight="1">
      <c r="A96" s="9"/>
      <c r="B96" s="9"/>
      <c r="C96" s="9"/>
    </row>
    <row r="97" ht="12.75" customHeight="1">
      <c r="A97" s="9"/>
      <c r="B97" s="9"/>
      <c r="C97" s="9"/>
    </row>
    <row r="98" ht="12.75" customHeight="1">
      <c r="A98" s="9"/>
      <c r="B98" s="9"/>
      <c r="C98" s="9"/>
    </row>
    <row r="99" ht="12.75" customHeight="1">
      <c r="A99" s="9"/>
      <c r="B99" s="9"/>
      <c r="C99" s="9"/>
    </row>
    <row r="100" ht="12.75" customHeight="1">
      <c r="A100" s="9"/>
      <c r="B100" s="9"/>
      <c r="C100" s="9"/>
    </row>
    <row r="101" ht="12.75" customHeight="1">
      <c r="A101" s="9"/>
      <c r="B101" s="9"/>
      <c r="C101" s="9"/>
    </row>
    <row r="102" ht="12.75" customHeight="1">
      <c r="A102" s="9"/>
      <c r="B102" s="9"/>
      <c r="C102" s="9"/>
    </row>
    <row r="103" ht="12.75" customHeight="1">
      <c r="A103" s="9"/>
      <c r="B103" s="9"/>
      <c r="C103" s="9"/>
    </row>
    <row r="104" ht="12.75" customHeight="1">
      <c r="A104" s="9"/>
      <c r="B104" s="9"/>
      <c r="C104" s="9"/>
    </row>
    <row r="105" ht="12.75" customHeight="1">
      <c r="A105" s="9"/>
      <c r="B105" s="9"/>
      <c r="C105" s="9"/>
    </row>
    <row r="106" ht="12.75" customHeight="1">
      <c r="A106" s="9"/>
      <c r="B106" s="9"/>
      <c r="C106" s="9"/>
    </row>
    <row r="107" ht="12.75" customHeight="1">
      <c r="A107" s="9"/>
      <c r="B107" s="9"/>
      <c r="C107" s="9"/>
    </row>
    <row r="108" ht="12.75" customHeight="1">
      <c r="A108" s="9"/>
      <c r="B108" s="9"/>
      <c r="C108" s="9"/>
    </row>
    <row r="109" ht="12.75" customHeight="1">
      <c r="A109" s="9"/>
      <c r="B109" s="9"/>
      <c r="C109" s="9"/>
    </row>
    <row r="110" ht="12.75" customHeight="1">
      <c r="A110" s="9"/>
      <c r="B110" s="9"/>
      <c r="C110" s="9"/>
    </row>
    <row r="111" ht="12.75" customHeight="1">
      <c r="A111" s="9"/>
      <c r="B111" s="9"/>
      <c r="C111" s="9"/>
    </row>
    <row r="112" ht="12.75" customHeight="1">
      <c r="A112" s="9"/>
      <c r="B112" s="9"/>
      <c r="C112" s="9"/>
    </row>
    <row r="113" ht="12.75" customHeight="1">
      <c r="A113" s="9"/>
      <c r="B113" s="9"/>
      <c r="C113" s="9"/>
    </row>
    <row r="114" ht="12.75" customHeight="1">
      <c r="A114" s="9"/>
      <c r="B114" s="9"/>
      <c r="C114" s="9"/>
    </row>
    <row r="115" ht="12.75" customHeight="1">
      <c r="A115" s="9"/>
      <c r="B115" s="9"/>
      <c r="C115" s="9"/>
    </row>
    <row r="116" ht="12.75" customHeight="1">
      <c r="A116" s="9"/>
      <c r="B116" s="9"/>
      <c r="C116" s="9"/>
    </row>
    <row r="117" ht="12.75" customHeight="1">
      <c r="A117" s="9"/>
      <c r="B117" s="9"/>
      <c r="C117" s="9"/>
    </row>
    <row r="118" ht="12.75" customHeight="1">
      <c r="A118" s="9"/>
      <c r="B118" s="9"/>
      <c r="C118" s="9"/>
    </row>
    <row r="119" ht="12.75" customHeight="1">
      <c r="A119" s="9"/>
      <c r="B119" s="9"/>
      <c r="C119" s="9"/>
    </row>
    <row r="120" ht="12.75" customHeight="1">
      <c r="A120" s="9"/>
      <c r="B120" s="9"/>
      <c r="C120" s="9"/>
    </row>
    <row r="121" ht="12.75" customHeight="1">
      <c r="A121" s="9"/>
      <c r="B121" s="9"/>
      <c r="C121" s="9"/>
    </row>
    <row r="122" ht="12.75" customHeight="1">
      <c r="A122" s="9"/>
      <c r="B122" s="9"/>
      <c r="C122" s="9"/>
    </row>
    <row r="123" ht="12.75" customHeight="1">
      <c r="A123" s="9"/>
      <c r="B123" s="9"/>
      <c r="C123" s="9"/>
    </row>
    <row r="124" ht="12.75" customHeight="1">
      <c r="A124" s="9"/>
      <c r="B124" s="9"/>
      <c r="C124" s="9"/>
    </row>
    <row r="125" ht="12.75" customHeight="1">
      <c r="A125" s="9"/>
      <c r="B125" s="9"/>
      <c r="C125" s="9"/>
    </row>
    <row r="126" ht="12.75" customHeight="1">
      <c r="A126" s="9"/>
      <c r="B126" s="9"/>
      <c r="C126" s="9"/>
    </row>
    <row r="127" ht="12.75" customHeight="1">
      <c r="A127" s="9"/>
      <c r="B127" s="9"/>
      <c r="C127" s="9"/>
    </row>
    <row r="128" ht="12.75" customHeight="1">
      <c r="A128" s="9"/>
      <c r="B128" s="9"/>
      <c r="C128" s="9"/>
    </row>
    <row r="129" ht="12.75" customHeight="1">
      <c r="A129" s="9"/>
      <c r="B129" s="9"/>
      <c r="C129" s="9"/>
    </row>
    <row r="130" ht="12.75" customHeight="1">
      <c r="A130" s="9"/>
      <c r="B130" s="9"/>
      <c r="C130" s="9"/>
    </row>
    <row r="131" ht="12.75" customHeight="1">
      <c r="A131" s="9"/>
      <c r="B131" s="9"/>
      <c r="C131" s="9"/>
    </row>
    <row r="132" ht="12.75" customHeight="1">
      <c r="A132" s="9"/>
      <c r="B132" s="9"/>
      <c r="C132" s="9"/>
    </row>
    <row r="133" ht="12.75" customHeight="1">
      <c r="A133" s="9"/>
      <c r="B133" s="9"/>
      <c r="C133" s="9"/>
    </row>
    <row r="134" ht="12.75" customHeight="1">
      <c r="A134" s="9"/>
      <c r="B134" s="9"/>
      <c r="C134" s="9"/>
    </row>
    <row r="135" ht="12.75" customHeight="1">
      <c r="A135" s="9"/>
      <c r="B135" s="9"/>
      <c r="C135" s="9"/>
    </row>
    <row r="136" ht="12.75" customHeight="1">
      <c r="A136" s="9"/>
      <c r="B136" s="9"/>
      <c r="C136" s="9"/>
    </row>
    <row r="137" ht="12.75" customHeight="1">
      <c r="A137" s="9"/>
      <c r="B137" s="9"/>
      <c r="C137" s="9"/>
    </row>
    <row r="138" ht="12.75" customHeight="1">
      <c r="A138" s="9"/>
      <c r="B138" s="9"/>
      <c r="C138" s="9"/>
    </row>
    <row r="139" ht="12.75" customHeight="1">
      <c r="A139" s="9"/>
      <c r="B139" s="9"/>
      <c r="C139" s="9"/>
    </row>
    <row r="140" ht="12.75" customHeight="1">
      <c r="A140" s="9"/>
      <c r="B140" s="9"/>
      <c r="C140" s="9"/>
    </row>
    <row r="141" ht="12.75" customHeight="1">
      <c r="A141" s="9"/>
      <c r="B141" s="9"/>
      <c r="C141" s="9"/>
    </row>
    <row r="142" ht="12.75" customHeight="1">
      <c r="A142" s="9"/>
      <c r="B142" s="9"/>
      <c r="C142" s="9"/>
    </row>
    <row r="143" ht="12.75" customHeight="1">
      <c r="A143" s="9"/>
      <c r="B143" s="9"/>
      <c r="C143" s="9"/>
    </row>
    <row r="144" ht="12.75" customHeight="1">
      <c r="A144" s="9"/>
      <c r="B144" s="9"/>
      <c r="C144" s="9"/>
    </row>
    <row r="145" ht="12.75" customHeight="1">
      <c r="A145" s="9"/>
      <c r="B145" s="9"/>
      <c r="C145" s="9"/>
    </row>
    <row r="146" ht="12.75" customHeight="1">
      <c r="A146" s="9"/>
      <c r="B146" s="9"/>
      <c r="C146" s="9"/>
    </row>
    <row r="147" ht="12.75" customHeight="1">
      <c r="A147" s="9"/>
      <c r="B147" s="9"/>
      <c r="C147" s="9"/>
    </row>
    <row r="148" ht="12.75" customHeight="1">
      <c r="A148" s="9"/>
      <c r="B148" s="9"/>
      <c r="C148" s="9"/>
    </row>
    <row r="149" ht="12.75" customHeight="1">
      <c r="A149" s="9"/>
      <c r="B149" s="9"/>
      <c r="C149" s="9"/>
    </row>
    <row r="150" ht="12.75" customHeight="1">
      <c r="A150" s="9"/>
      <c r="B150" s="9"/>
      <c r="C150" s="9"/>
    </row>
    <row r="151" ht="12.75" customHeight="1">
      <c r="A151" s="9"/>
      <c r="B151" s="9"/>
      <c r="C151" s="9"/>
    </row>
    <row r="152" ht="12.75" customHeight="1">
      <c r="A152" s="9"/>
      <c r="B152" s="9"/>
      <c r="C152" s="9"/>
    </row>
    <row r="153" ht="12.75" customHeight="1">
      <c r="A153" s="9"/>
      <c r="B153" s="9"/>
      <c r="C153" s="9"/>
    </row>
    <row r="154" ht="12.75" customHeight="1">
      <c r="A154" s="9"/>
      <c r="B154" s="9"/>
      <c r="C154" s="9"/>
    </row>
    <row r="155" ht="12.75" customHeight="1">
      <c r="A155" s="9"/>
      <c r="B155" s="9"/>
      <c r="C155" s="9"/>
    </row>
    <row r="156" ht="12.75" customHeight="1">
      <c r="A156" s="9"/>
      <c r="B156" s="9"/>
      <c r="C156" s="9"/>
    </row>
    <row r="157" ht="12.75" customHeight="1">
      <c r="A157" s="9"/>
      <c r="B157" s="9"/>
      <c r="C157" s="9"/>
    </row>
    <row r="158" ht="12.75" customHeight="1">
      <c r="A158" s="9"/>
      <c r="B158" s="9"/>
      <c r="C158" s="9"/>
    </row>
    <row r="159" ht="12.75" customHeight="1">
      <c r="A159" s="9"/>
      <c r="B159" s="9"/>
      <c r="C159" s="9"/>
    </row>
    <row r="160" ht="12.75" customHeight="1">
      <c r="A160" s="9"/>
      <c r="B160" s="9"/>
      <c r="C160" s="9"/>
    </row>
    <row r="161" ht="12.75" customHeight="1">
      <c r="A161" s="9"/>
      <c r="B161" s="9"/>
      <c r="C161" s="9"/>
    </row>
    <row r="162" ht="12.75" customHeight="1">
      <c r="A162" s="9"/>
      <c r="B162" s="9"/>
      <c r="C162" s="9"/>
    </row>
    <row r="163" ht="12.75" customHeight="1">
      <c r="A163" s="9"/>
      <c r="B163" s="9"/>
      <c r="C163" s="9"/>
    </row>
    <row r="164" ht="12.75" customHeight="1">
      <c r="A164" s="9"/>
      <c r="B164" s="9"/>
      <c r="C164" s="9"/>
    </row>
    <row r="165" ht="12.75" customHeight="1">
      <c r="A165" s="9"/>
      <c r="B165" s="9"/>
      <c r="C165" s="9"/>
    </row>
    <row r="166" ht="12.75" customHeight="1">
      <c r="A166" s="9"/>
      <c r="B166" s="9"/>
      <c r="C166" s="9"/>
    </row>
    <row r="167" ht="12.75" customHeight="1">
      <c r="A167" s="9"/>
      <c r="B167" s="9"/>
      <c r="C167" s="9"/>
    </row>
    <row r="168" ht="12.75" customHeight="1">
      <c r="A168" s="9"/>
      <c r="B168" s="9"/>
      <c r="C168" s="9"/>
    </row>
    <row r="169" ht="12.75" customHeight="1">
      <c r="A169" s="9"/>
      <c r="B169" s="9"/>
      <c r="C169" s="9"/>
    </row>
    <row r="170" ht="12.75" customHeight="1">
      <c r="A170" s="9"/>
      <c r="B170" s="9"/>
      <c r="C170" s="9"/>
    </row>
    <row r="171" ht="12.75" customHeight="1">
      <c r="A171" s="9"/>
      <c r="B171" s="9"/>
      <c r="C171" s="9"/>
    </row>
    <row r="172" ht="12.75" customHeight="1">
      <c r="A172" s="9"/>
      <c r="B172" s="9"/>
      <c r="C172" s="9"/>
    </row>
    <row r="173" ht="12.75" customHeight="1">
      <c r="A173" s="9"/>
      <c r="B173" s="9"/>
      <c r="C173" s="9"/>
    </row>
    <row r="174" ht="12.75" customHeight="1">
      <c r="A174" s="9"/>
      <c r="B174" s="9"/>
      <c r="C174" s="9"/>
    </row>
    <row r="175" ht="12.75" customHeight="1">
      <c r="A175" s="9"/>
      <c r="B175" s="9"/>
      <c r="C175" s="9"/>
    </row>
    <row r="176" ht="12.75" customHeight="1">
      <c r="A176" s="9"/>
      <c r="B176" s="9"/>
      <c r="C176" s="9"/>
    </row>
    <row r="177" ht="12.75" customHeight="1">
      <c r="A177" s="9"/>
      <c r="B177" s="9"/>
      <c r="C177" s="9"/>
    </row>
    <row r="178" ht="12.75" customHeight="1">
      <c r="A178" s="9"/>
      <c r="B178" s="9"/>
      <c r="C178" s="9"/>
    </row>
    <row r="179" ht="12.75" customHeight="1">
      <c r="A179" s="9"/>
      <c r="B179" s="9"/>
      <c r="C179" s="9"/>
    </row>
    <row r="180" ht="12.75" customHeight="1">
      <c r="A180" s="9"/>
      <c r="B180" s="9"/>
      <c r="C180" s="9"/>
    </row>
    <row r="181" ht="12.75" customHeight="1">
      <c r="A181" s="9"/>
      <c r="B181" s="9"/>
      <c r="C181" s="9"/>
    </row>
    <row r="182" ht="12.75" customHeight="1">
      <c r="A182" s="9"/>
      <c r="B182" s="9"/>
      <c r="C182" s="9"/>
    </row>
    <row r="183" ht="12.75" customHeight="1">
      <c r="A183" s="9"/>
      <c r="B183" s="9"/>
      <c r="C183" s="9"/>
    </row>
    <row r="184" ht="12.75" customHeight="1">
      <c r="A184" s="9"/>
      <c r="B184" s="9"/>
      <c r="C184" s="9"/>
    </row>
    <row r="185" ht="12.75" customHeight="1">
      <c r="A185" s="9"/>
      <c r="B185" s="9"/>
      <c r="C185" s="9"/>
    </row>
    <row r="186" ht="12.75" customHeight="1">
      <c r="A186" s="9"/>
      <c r="B186" s="9"/>
      <c r="C186" s="9"/>
    </row>
    <row r="187" ht="12.75" customHeight="1">
      <c r="A187" s="9"/>
      <c r="B187" s="9"/>
      <c r="C187" s="9"/>
    </row>
    <row r="188" ht="12.75" customHeight="1">
      <c r="A188" s="9"/>
      <c r="B188" s="9"/>
      <c r="C188" s="9"/>
    </row>
    <row r="189" ht="12.75" customHeight="1">
      <c r="A189" s="9"/>
      <c r="B189" s="9"/>
      <c r="C189" s="9"/>
    </row>
    <row r="190" ht="12.75" customHeight="1">
      <c r="A190" s="9"/>
      <c r="B190" s="9"/>
      <c r="C190" s="9"/>
    </row>
    <row r="191" ht="12.75" customHeight="1">
      <c r="A191" s="9"/>
      <c r="B191" s="9"/>
      <c r="C191" s="9"/>
    </row>
    <row r="192" ht="12.75" customHeight="1">
      <c r="A192" s="9"/>
      <c r="B192" s="9"/>
      <c r="C192" s="9"/>
    </row>
    <row r="193" ht="12.75" customHeight="1">
      <c r="A193" s="9"/>
      <c r="B193" s="9"/>
      <c r="C193" s="9"/>
    </row>
    <row r="194" ht="12.75" customHeight="1">
      <c r="A194" s="9"/>
      <c r="B194" s="9"/>
      <c r="C194" s="9"/>
    </row>
    <row r="195" ht="12.75" customHeight="1">
      <c r="A195" s="9"/>
      <c r="B195" s="9"/>
      <c r="C195" s="9"/>
    </row>
    <row r="196" ht="12.75" customHeight="1">
      <c r="A196" s="9"/>
      <c r="B196" s="9"/>
      <c r="C196" s="9"/>
    </row>
    <row r="197" ht="12.75" customHeight="1">
      <c r="A197" s="9"/>
      <c r="B197" s="9"/>
      <c r="C197" s="9"/>
    </row>
    <row r="198" ht="12.75" customHeight="1">
      <c r="A198" s="9"/>
      <c r="B198" s="9"/>
      <c r="C198" s="9"/>
    </row>
    <row r="199" ht="12.75" customHeight="1">
      <c r="A199" s="9"/>
      <c r="B199" s="9"/>
      <c r="C199" s="9"/>
    </row>
    <row r="200" ht="12.75" customHeight="1">
      <c r="A200" s="9"/>
      <c r="B200" s="9"/>
      <c r="C200" s="9"/>
    </row>
    <row r="201" ht="12.75" customHeight="1">
      <c r="A201" s="9"/>
      <c r="B201" s="9"/>
      <c r="C201" s="9"/>
    </row>
    <row r="202" ht="12.75" customHeight="1">
      <c r="A202" s="9"/>
      <c r="B202" s="9"/>
      <c r="C202" s="9"/>
    </row>
    <row r="203" ht="12.75" customHeight="1">
      <c r="A203" s="9"/>
      <c r="B203" s="9"/>
      <c r="C203" s="9"/>
    </row>
    <row r="204" ht="12.75" customHeight="1">
      <c r="A204" s="9"/>
      <c r="B204" s="9"/>
      <c r="C204" s="9"/>
    </row>
    <row r="205" ht="12.75" customHeight="1">
      <c r="A205" s="9"/>
      <c r="B205" s="9"/>
      <c r="C205" s="9"/>
    </row>
    <row r="206" ht="12.75" customHeight="1">
      <c r="A206" s="9"/>
      <c r="B206" s="9"/>
      <c r="C206" s="9"/>
    </row>
    <row r="207" ht="12.75" customHeight="1">
      <c r="A207" s="9"/>
      <c r="B207" s="9"/>
      <c r="C207" s="9"/>
    </row>
    <row r="208" ht="12.75" customHeight="1">
      <c r="A208" s="9"/>
      <c r="B208" s="9"/>
      <c r="C208" s="9"/>
    </row>
    <row r="209" ht="12.75" customHeight="1">
      <c r="A209" s="9"/>
      <c r="B209" s="9"/>
      <c r="C209" s="9"/>
    </row>
    <row r="210" ht="12.75" customHeight="1">
      <c r="A210" s="9"/>
      <c r="B210" s="9"/>
      <c r="C210" s="9"/>
    </row>
    <row r="211" ht="12.75" customHeight="1">
      <c r="A211" s="9"/>
      <c r="B211" s="9"/>
      <c r="C211" s="9"/>
    </row>
    <row r="212" ht="12.75" customHeight="1">
      <c r="A212" s="9"/>
      <c r="B212" s="9"/>
      <c r="C212" s="9"/>
    </row>
    <row r="213" ht="12.75" customHeight="1">
      <c r="A213" s="9"/>
      <c r="B213" s="9"/>
      <c r="C213" s="9"/>
    </row>
    <row r="214" ht="12.75" customHeight="1">
      <c r="A214" s="9"/>
      <c r="B214" s="9"/>
      <c r="C214" s="9"/>
    </row>
    <row r="215" ht="12.75" customHeight="1">
      <c r="A215" s="9"/>
      <c r="B215" s="9"/>
      <c r="C215" s="9"/>
    </row>
    <row r="216" ht="12.75" customHeight="1">
      <c r="A216" s="9"/>
      <c r="B216" s="9"/>
      <c r="C216" s="9"/>
    </row>
    <row r="217" ht="12.75" customHeight="1">
      <c r="A217" s="9"/>
      <c r="B217" s="9"/>
      <c r="C217" s="9"/>
    </row>
    <row r="218" ht="12.75" customHeight="1">
      <c r="A218" s="9"/>
      <c r="B218" s="9"/>
      <c r="C218" s="9"/>
    </row>
    <row r="219" ht="12.75" customHeight="1">
      <c r="A219" s="9"/>
      <c r="B219" s="9"/>
      <c r="C219" s="9"/>
    </row>
    <row r="220" ht="12.75" customHeight="1">
      <c r="A220" s="9"/>
      <c r="B220" s="9"/>
      <c r="C220" s="9"/>
    </row>
    <row r="221" ht="12.75" customHeight="1">
      <c r="A221" s="9"/>
      <c r="B221" s="9"/>
      <c r="C221" s="9"/>
    </row>
    <row r="222" ht="12.75" customHeight="1">
      <c r="A222" s="9"/>
      <c r="B222" s="9"/>
      <c r="C222" s="9"/>
    </row>
    <row r="223" ht="12.75" customHeight="1">
      <c r="A223" s="9"/>
      <c r="B223" s="9"/>
      <c r="C223" s="9"/>
    </row>
    <row r="224" ht="12.75" customHeight="1">
      <c r="A224" s="9"/>
      <c r="B224" s="9"/>
      <c r="C224" s="9"/>
    </row>
    <row r="225" ht="12.75" customHeight="1">
      <c r="A225" s="9"/>
      <c r="B225" s="9"/>
      <c r="C225" s="9"/>
    </row>
    <row r="226" ht="12.75" customHeight="1">
      <c r="A226" s="9"/>
      <c r="B226" s="9"/>
      <c r="C226" s="9"/>
    </row>
    <row r="227" ht="12.75" customHeight="1">
      <c r="A227" s="9"/>
      <c r="B227" s="9"/>
      <c r="C227" s="9"/>
    </row>
    <row r="228" ht="12.75" customHeight="1">
      <c r="A228" s="9"/>
      <c r="B228" s="9"/>
      <c r="C228" s="9"/>
    </row>
    <row r="229" ht="12.75" customHeight="1">
      <c r="A229" s="9"/>
      <c r="B229" s="9"/>
      <c r="C229" s="9"/>
    </row>
    <row r="230" ht="12.75" customHeight="1">
      <c r="A230" s="9"/>
      <c r="B230" s="9"/>
      <c r="C230" s="9"/>
    </row>
    <row r="231" ht="12.75" customHeight="1">
      <c r="A231" s="9"/>
      <c r="B231" s="9"/>
      <c r="C231" s="9"/>
    </row>
    <row r="232" ht="12.75" customHeight="1">
      <c r="A232" s="9"/>
      <c r="B232" s="9"/>
      <c r="C232" s="9"/>
    </row>
    <row r="233" ht="12.75" customHeight="1">
      <c r="A233" s="9"/>
      <c r="B233" s="9"/>
      <c r="C233" s="9"/>
    </row>
    <row r="234" ht="12.75" customHeight="1">
      <c r="A234" s="9"/>
      <c r="B234" s="9"/>
      <c r="C234" s="9"/>
    </row>
    <row r="235" ht="12.75" customHeight="1">
      <c r="A235" s="9"/>
      <c r="B235" s="9"/>
      <c r="C235" s="9"/>
    </row>
    <row r="236" ht="12.75" customHeight="1">
      <c r="A236" s="9"/>
      <c r="B236" s="9"/>
      <c r="C236" s="9"/>
    </row>
    <row r="237" ht="12.75" customHeight="1">
      <c r="A237" s="9"/>
      <c r="B237" s="9"/>
      <c r="C237" s="9"/>
    </row>
    <row r="238" ht="12.75" customHeight="1">
      <c r="A238" s="9"/>
      <c r="B238" s="9"/>
      <c r="C238" s="9"/>
    </row>
    <row r="239" ht="12.75" customHeight="1">
      <c r="A239" s="9"/>
      <c r="B239" s="9"/>
      <c r="C239" s="9"/>
    </row>
    <row r="240" ht="12.75" customHeight="1">
      <c r="A240" s="9"/>
      <c r="B240" s="9"/>
      <c r="C240" s="9"/>
    </row>
    <row r="241" ht="12.75" customHeight="1">
      <c r="A241" s="9"/>
      <c r="B241" s="9"/>
      <c r="C241" s="9"/>
    </row>
    <row r="242" ht="12.75" customHeight="1">
      <c r="A242" s="9"/>
      <c r="B242" s="9"/>
      <c r="C242" s="9"/>
    </row>
    <row r="243" ht="12.75" customHeight="1">
      <c r="A243" s="9"/>
      <c r="B243" s="9"/>
      <c r="C243" s="9"/>
    </row>
    <row r="244" ht="12.75" customHeight="1">
      <c r="A244" s="9"/>
      <c r="B244" s="9"/>
      <c r="C244" s="9"/>
    </row>
    <row r="245" ht="12.75" customHeight="1">
      <c r="A245" s="9"/>
      <c r="B245" s="9"/>
      <c r="C245" s="9"/>
    </row>
    <row r="246" ht="12.75" customHeight="1">
      <c r="A246" s="9"/>
      <c r="B246" s="9"/>
      <c r="C246" s="9"/>
    </row>
    <row r="247" ht="12.75" customHeight="1">
      <c r="A247" s="9"/>
      <c r="B247" s="9"/>
      <c r="C247" s="9"/>
    </row>
    <row r="248" ht="12.75" customHeight="1">
      <c r="A248" s="9"/>
      <c r="B248" s="9"/>
      <c r="C248" s="9"/>
    </row>
    <row r="249" ht="12.75" customHeight="1">
      <c r="A249" s="9"/>
      <c r="B249" s="9"/>
      <c r="C249" s="9"/>
    </row>
    <row r="250" ht="12.75" customHeight="1">
      <c r="A250" s="9"/>
      <c r="B250" s="9"/>
      <c r="C250" s="9"/>
    </row>
    <row r="251" ht="12.75" customHeight="1">
      <c r="A251" s="9"/>
      <c r="B251" s="9"/>
      <c r="C251" s="9"/>
    </row>
    <row r="252" ht="12.75" customHeight="1">
      <c r="A252" s="9"/>
      <c r="B252" s="9"/>
      <c r="C252" s="9"/>
    </row>
    <row r="253" ht="12.75" customHeight="1">
      <c r="A253" s="9"/>
      <c r="B253" s="9"/>
      <c r="C253" s="9"/>
    </row>
    <row r="254" ht="12.75" customHeight="1">
      <c r="A254" s="9"/>
      <c r="B254" s="9"/>
      <c r="C254" s="9"/>
    </row>
    <row r="255" ht="12.75" customHeight="1">
      <c r="A255" s="9"/>
      <c r="B255" s="9"/>
      <c r="C255" s="9"/>
    </row>
    <row r="256" ht="12.75" customHeight="1">
      <c r="A256" s="9"/>
      <c r="B256" s="9"/>
      <c r="C256" s="9"/>
    </row>
    <row r="257" ht="12.75" customHeight="1">
      <c r="A257" s="9"/>
      <c r="B257" s="9"/>
      <c r="C257" s="9"/>
    </row>
    <row r="258" ht="12.75" customHeight="1">
      <c r="A258" s="9"/>
      <c r="B258" s="9"/>
      <c r="C258" s="9"/>
    </row>
    <row r="259" ht="12.75" customHeight="1">
      <c r="A259" s="9"/>
      <c r="B259" s="9"/>
      <c r="C259" s="9"/>
    </row>
    <row r="260" ht="12.75" customHeight="1">
      <c r="A260" s="9"/>
      <c r="B260" s="9"/>
      <c r="C260" s="9"/>
    </row>
    <row r="261" ht="12.75" customHeight="1">
      <c r="A261" s="9"/>
      <c r="B261" s="9"/>
      <c r="C261" s="9"/>
    </row>
    <row r="262" ht="12.75" customHeight="1">
      <c r="A262" s="9"/>
      <c r="B262" s="9"/>
      <c r="C262" s="9"/>
    </row>
    <row r="263" ht="12.75" customHeight="1">
      <c r="A263" s="9"/>
      <c r="B263" s="9"/>
      <c r="C263" s="9"/>
    </row>
    <row r="264" ht="12.75" customHeight="1">
      <c r="A264" s="9"/>
      <c r="B264" s="9"/>
      <c r="C264" s="9"/>
    </row>
    <row r="265" ht="12.75" customHeight="1">
      <c r="A265" s="9"/>
      <c r="B265" s="9"/>
      <c r="C265" s="9"/>
    </row>
    <row r="266" ht="12.75" customHeight="1">
      <c r="A266" s="9"/>
      <c r="B266" s="9"/>
      <c r="C266" s="9"/>
    </row>
    <row r="267" ht="12.75" customHeight="1">
      <c r="A267" s="9"/>
      <c r="B267" s="9"/>
      <c r="C267" s="9"/>
    </row>
    <row r="268" ht="12.75" customHeight="1">
      <c r="A268" s="9"/>
      <c r="B268" s="9"/>
      <c r="C268" s="9"/>
    </row>
    <row r="269" ht="12.75" customHeight="1">
      <c r="A269" s="9"/>
      <c r="B269" s="9"/>
      <c r="C269" s="9"/>
    </row>
    <row r="270" ht="12.75" customHeight="1">
      <c r="A270" s="9"/>
      <c r="B270" s="9"/>
      <c r="C270" s="9"/>
    </row>
    <row r="271" ht="12.75" customHeight="1">
      <c r="A271" s="9"/>
      <c r="B271" s="9"/>
      <c r="C271" s="9"/>
    </row>
    <row r="272" ht="12.75" customHeight="1">
      <c r="A272" s="9"/>
      <c r="B272" s="9"/>
      <c r="C272" s="9"/>
    </row>
    <row r="273" ht="12.75" customHeight="1">
      <c r="A273" s="9"/>
      <c r="B273" s="9"/>
      <c r="C273" s="9"/>
    </row>
    <row r="274" ht="12.75" customHeight="1">
      <c r="A274" s="9"/>
      <c r="B274" s="9"/>
      <c r="C274" s="9"/>
    </row>
    <row r="275" ht="12.75" customHeight="1">
      <c r="A275" s="9"/>
      <c r="B275" s="9"/>
      <c r="C275" s="9"/>
    </row>
    <row r="276" ht="12.75" customHeight="1">
      <c r="A276" s="9"/>
      <c r="B276" s="9"/>
      <c r="C276" s="9"/>
    </row>
    <row r="277" ht="12.75" customHeight="1">
      <c r="A277" s="9"/>
      <c r="B277" s="9"/>
      <c r="C277" s="9"/>
    </row>
    <row r="278" ht="12.75" customHeight="1">
      <c r="A278" s="9"/>
      <c r="B278" s="9"/>
      <c r="C278" s="9"/>
    </row>
    <row r="279" ht="12.75" customHeight="1">
      <c r="A279" s="9"/>
      <c r="B279" s="9"/>
      <c r="C279" s="9"/>
    </row>
    <row r="280" ht="12.75" customHeight="1">
      <c r="A280" s="9"/>
      <c r="B280" s="9"/>
      <c r="C280" s="9"/>
    </row>
    <row r="281" ht="12.75" customHeight="1">
      <c r="A281" s="9"/>
      <c r="B281" s="9"/>
      <c r="C281" s="9"/>
    </row>
    <row r="282" ht="12.75" customHeight="1">
      <c r="A282" s="9"/>
      <c r="B282" s="9"/>
      <c r="C282" s="9"/>
    </row>
    <row r="283" ht="12.75" customHeight="1">
      <c r="A283" s="9"/>
      <c r="B283" s="9"/>
      <c r="C283" s="9"/>
    </row>
    <row r="284" ht="12.75" customHeight="1">
      <c r="A284" s="9"/>
      <c r="B284" s="9"/>
      <c r="C284" s="9"/>
    </row>
    <row r="285" ht="12.75" customHeight="1">
      <c r="A285" s="9"/>
      <c r="B285" s="9"/>
      <c r="C285" s="9"/>
    </row>
    <row r="286" ht="12.75" customHeight="1">
      <c r="A286" s="9"/>
      <c r="B286" s="9"/>
      <c r="C286" s="9"/>
    </row>
    <row r="287" ht="12.75" customHeight="1">
      <c r="A287" s="9"/>
      <c r="B287" s="9"/>
      <c r="C287" s="9"/>
    </row>
    <row r="288" ht="12.75" customHeight="1">
      <c r="A288" s="9"/>
      <c r="B288" s="9"/>
      <c r="C288" s="9"/>
    </row>
    <row r="289" ht="12.75" customHeight="1">
      <c r="A289" s="9"/>
      <c r="B289" s="9"/>
      <c r="C289" s="9"/>
    </row>
    <row r="290" ht="12.75" customHeight="1">
      <c r="A290" s="9"/>
      <c r="B290" s="9"/>
      <c r="C290" s="9"/>
    </row>
    <row r="291" ht="12.75" customHeight="1">
      <c r="A291" s="9"/>
      <c r="B291" s="9"/>
      <c r="C291" s="9"/>
    </row>
    <row r="292" ht="12.75" customHeight="1">
      <c r="A292" s="9"/>
      <c r="B292" s="9"/>
      <c r="C292" s="9"/>
    </row>
    <row r="293" ht="12.75" customHeight="1">
      <c r="A293" s="9"/>
      <c r="B293" s="9"/>
      <c r="C293" s="9"/>
    </row>
    <row r="294" ht="12.75" customHeight="1">
      <c r="A294" s="9"/>
      <c r="B294" s="9"/>
      <c r="C294" s="9"/>
    </row>
    <row r="295" ht="12.75" customHeight="1">
      <c r="A295" s="9"/>
      <c r="B295" s="9"/>
      <c r="C295" s="9"/>
    </row>
    <row r="296" ht="12.75" customHeight="1">
      <c r="A296" s="9"/>
      <c r="B296" s="9"/>
      <c r="C296" s="9"/>
    </row>
    <row r="297" ht="12.75" customHeight="1">
      <c r="A297" s="9"/>
      <c r="B297" s="9"/>
      <c r="C297" s="9"/>
    </row>
    <row r="298" ht="12.75" customHeight="1">
      <c r="A298" s="9"/>
      <c r="B298" s="9"/>
      <c r="C298" s="9"/>
    </row>
    <row r="299" ht="12.75" customHeight="1">
      <c r="A299" s="9"/>
      <c r="B299" s="9"/>
      <c r="C299" s="9"/>
    </row>
    <row r="300" ht="12.75" customHeight="1">
      <c r="A300" s="9"/>
      <c r="B300" s="9"/>
      <c r="C300" s="9"/>
    </row>
    <row r="301" ht="12.75" customHeight="1">
      <c r="A301" s="9"/>
      <c r="B301" s="9"/>
      <c r="C301" s="9"/>
    </row>
    <row r="302" ht="12.75" customHeight="1">
      <c r="A302" s="9"/>
      <c r="B302" s="9"/>
      <c r="C302" s="9"/>
    </row>
    <row r="303" ht="12.75" customHeight="1">
      <c r="A303" s="9"/>
      <c r="B303" s="9"/>
      <c r="C303" s="9"/>
    </row>
    <row r="304" ht="12.75" customHeight="1">
      <c r="A304" s="9"/>
      <c r="B304" s="9"/>
      <c r="C304" s="9"/>
    </row>
    <row r="305" ht="12.75" customHeight="1">
      <c r="A305" s="9"/>
      <c r="B305" s="9"/>
      <c r="C305" s="9"/>
    </row>
    <row r="306" ht="12.75" customHeight="1">
      <c r="A306" s="9"/>
      <c r="B306" s="9"/>
      <c r="C306" s="9"/>
    </row>
    <row r="307" ht="12.75" customHeight="1">
      <c r="A307" s="9"/>
      <c r="B307" s="9"/>
      <c r="C307" s="9"/>
    </row>
    <row r="308" ht="12.75" customHeight="1">
      <c r="A308" s="9"/>
      <c r="B308" s="9"/>
      <c r="C308" s="9"/>
    </row>
    <row r="309" ht="12.75" customHeight="1">
      <c r="A309" s="9"/>
      <c r="B309" s="9"/>
      <c r="C309" s="9"/>
    </row>
    <row r="310" ht="12.75" customHeight="1">
      <c r="A310" s="9"/>
      <c r="B310" s="9"/>
      <c r="C310" s="9"/>
    </row>
    <row r="311" ht="12.75" customHeight="1">
      <c r="A311" s="9"/>
      <c r="B311" s="9"/>
      <c r="C311" s="9"/>
    </row>
    <row r="312" ht="12.75" customHeight="1">
      <c r="A312" s="9"/>
      <c r="B312" s="9"/>
      <c r="C312" s="9"/>
    </row>
    <row r="313" ht="12.75" customHeight="1">
      <c r="A313" s="9"/>
      <c r="B313" s="9"/>
      <c r="C313" s="9"/>
    </row>
    <row r="314" ht="12.75" customHeight="1">
      <c r="A314" s="9"/>
      <c r="B314" s="9"/>
      <c r="C314" s="9"/>
    </row>
    <row r="315" ht="12.75" customHeight="1">
      <c r="A315" s="9"/>
      <c r="B315" s="9"/>
      <c r="C315" s="9"/>
    </row>
    <row r="316" ht="12.75" customHeight="1">
      <c r="A316" s="9"/>
      <c r="B316" s="9"/>
      <c r="C316" s="9"/>
    </row>
    <row r="317" ht="12.75" customHeight="1">
      <c r="A317" s="9"/>
      <c r="B317" s="9"/>
      <c r="C317" s="9"/>
    </row>
    <row r="318" ht="12.75" customHeight="1">
      <c r="A318" s="9"/>
      <c r="B318" s="9"/>
      <c r="C318" s="9"/>
    </row>
    <row r="319" ht="12.75" customHeight="1">
      <c r="A319" s="9"/>
      <c r="B319" s="9"/>
      <c r="C319" s="9"/>
    </row>
    <row r="320" ht="12.75" customHeight="1">
      <c r="A320" s="9"/>
      <c r="B320" s="9"/>
      <c r="C320" s="9"/>
    </row>
    <row r="321" ht="12.75" customHeight="1">
      <c r="A321" s="9"/>
      <c r="B321" s="9"/>
      <c r="C321" s="9"/>
    </row>
    <row r="322" ht="12.75" customHeight="1">
      <c r="A322" s="9"/>
      <c r="B322" s="9"/>
      <c r="C322" s="9"/>
    </row>
    <row r="323" ht="12.75" customHeight="1">
      <c r="A323" s="9"/>
      <c r="B323" s="9"/>
      <c r="C323" s="9"/>
    </row>
    <row r="324" ht="12.75" customHeight="1">
      <c r="A324" s="9"/>
      <c r="B324" s="9"/>
      <c r="C324" s="9"/>
    </row>
    <row r="325" ht="12.75" customHeight="1">
      <c r="A325" s="9"/>
      <c r="B325" s="9"/>
      <c r="C325" s="9"/>
    </row>
    <row r="326" ht="12.75" customHeight="1">
      <c r="A326" s="9"/>
      <c r="B326" s="9"/>
      <c r="C326" s="9"/>
    </row>
    <row r="327" ht="12.75" customHeight="1">
      <c r="A327" s="9"/>
      <c r="B327" s="9"/>
      <c r="C327" s="9"/>
    </row>
    <row r="328" ht="12.75" customHeight="1">
      <c r="A328" s="9"/>
      <c r="B328" s="9"/>
      <c r="C328" s="9"/>
    </row>
    <row r="329" ht="12.75" customHeight="1">
      <c r="A329" s="9"/>
      <c r="B329" s="9"/>
      <c r="C329" s="9"/>
    </row>
    <row r="330" ht="12.75" customHeight="1">
      <c r="A330" s="9"/>
      <c r="B330" s="9"/>
      <c r="C330" s="9"/>
    </row>
    <row r="331" ht="12.75" customHeight="1">
      <c r="A331" s="9"/>
      <c r="B331" s="9"/>
      <c r="C331" s="9"/>
    </row>
    <row r="332" ht="12.75" customHeight="1">
      <c r="A332" s="9"/>
      <c r="B332" s="9"/>
      <c r="C332" s="9"/>
    </row>
    <row r="333" ht="12.75" customHeight="1">
      <c r="A333" s="9"/>
      <c r="B333" s="9"/>
      <c r="C333" s="9"/>
    </row>
    <row r="334" ht="12.75" customHeight="1">
      <c r="A334" s="9"/>
      <c r="B334" s="9"/>
      <c r="C334" s="9"/>
    </row>
    <row r="335" ht="12.75" customHeight="1">
      <c r="A335" s="9"/>
      <c r="B335" s="9"/>
      <c r="C335" s="9"/>
    </row>
    <row r="336" ht="12.75" customHeight="1">
      <c r="A336" s="9"/>
      <c r="B336" s="9"/>
      <c r="C336" s="9"/>
    </row>
    <row r="337" ht="12.75" customHeight="1">
      <c r="A337" s="9"/>
      <c r="B337" s="9"/>
      <c r="C337" s="9"/>
    </row>
    <row r="338" ht="12.75" customHeight="1">
      <c r="A338" s="9"/>
      <c r="B338" s="9"/>
      <c r="C338" s="9"/>
    </row>
    <row r="339" ht="12.75" customHeight="1">
      <c r="A339" s="9"/>
      <c r="B339" s="9"/>
      <c r="C339" s="9"/>
    </row>
    <row r="340" ht="12.75" customHeight="1">
      <c r="A340" s="9"/>
      <c r="B340" s="9"/>
      <c r="C340" s="9"/>
    </row>
    <row r="341" ht="12.75" customHeight="1">
      <c r="A341" s="9"/>
      <c r="B341" s="9"/>
      <c r="C341" s="9"/>
    </row>
    <row r="342" ht="12.75" customHeight="1">
      <c r="A342" s="9"/>
      <c r="B342" s="9"/>
      <c r="C342" s="9"/>
    </row>
    <row r="343" ht="12.75" customHeight="1">
      <c r="A343" s="9"/>
      <c r="B343" s="9"/>
      <c r="C343" s="9"/>
    </row>
    <row r="344" ht="12.75" customHeight="1">
      <c r="A344" s="9"/>
      <c r="B344" s="9"/>
      <c r="C344" s="9"/>
    </row>
    <row r="345" ht="12.75" customHeight="1">
      <c r="A345" s="9"/>
      <c r="B345" s="9"/>
      <c r="C345" s="9"/>
    </row>
    <row r="346" ht="12.75" customHeight="1">
      <c r="A346" s="9"/>
      <c r="B346" s="9"/>
      <c r="C346" s="9"/>
    </row>
    <row r="347" ht="12.75" customHeight="1">
      <c r="A347" s="9"/>
      <c r="B347" s="9"/>
      <c r="C347" s="9"/>
    </row>
    <row r="348" ht="12.75" customHeight="1">
      <c r="A348" s="9"/>
      <c r="B348" s="9"/>
      <c r="C348" s="9"/>
    </row>
    <row r="349" ht="12.75" customHeight="1">
      <c r="A349" s="9"/>
      <c r="B349" s="9"/>
      <c r="C349" s="9"/>
    </row>
    <row r="350" ht="12.75" customHeight="1">
      <c r="A350" s="9"/>
      <c r="B350" s="9"/>
      <c r="C350" s="9"/>
    </row>
    <row r="351" ht="12.75" customHeight="1">
      <c r="A351" s="9"/>
      <c r="B351" s="9"/>
      <c r="C351" s="9"/>
    </row>
    <row r="352" ht="12.75" customHeight="1">
      <c r="A352" s="9"/>
      <c r="B352" s="9"/>
      <c r="C352" s="9"/>
    </row>
    <row r="353" ht="12.75" customHeight="1">
      <c r="A353" s="9"/>
      <c r="B353" s="9"/>
      <c r="C353" s="9"/>
    </row>
    <row r="354" ht="12.75" customHeight="1">
      <c r="A354" s="9"/>
      <c r="B354" s="9"/>
      <c r="C354" s="9"/>
    </row>
    <row r="355" ht="12.75" customHeight="1">
      <c r="A355" s="9"/>
      <c r="B355" s="9"/>
      <c r="C355" s="9"/>
    </row>
    <row r="356" ht="12.75" customHeight="1">
      <c r="A356" s="9"/>
      <c r="B356" s="9"/>
      <c r="C356" s="9"/>
    </row>
    <row r="357" ht="12.75" customHeight="1">
      <c r="A357" s="9"/>
      <c r="B357" s="9"/>
      <c r="C357" s="9"/>
    </row>
    <row r="358" ht="12.75" customHeight="1">
      <c r="A358" s="9"/>
      <c r="B358" s="9"/>
      <c r="C358" s="9"/>
    </row>
    <row r="359" ht="12.75" customHeight="1">
      <c r="A359" s="9"/>
      <c r="B359" s="9"/>
      <c r="C359" s="9"/>
    </row>
    <row r="360" ht="12.75" customHeight="1">
      <c r="A360" s="9"/>
      <c r="B360" s="9"/>
      <c r="C360" s="9"/>
    </row>
    <row r="361" ht="12.75" customHeight="1">
      <c r="A361" s="9"/>
      <c r="B361" s="9"/>
      <c r="C361" s="9"/>
    </row>
    <row r="362" ht="12.75" customHeight="1">
      <c r="A362" s="9"/>
      <c r="B362" s="9"/>
      <c r="C362" s="9"/>
    </row>
    <row r="363" ht="12.75" customHeight="1">
      <c r="A363" s="9"/>
      <c r="B363" s="9"/>
      <c r="C363" s="9"/>
    </row>
    <row r="364" ht="12.75" customHeight="1">
      <c r="A364" s="9"/>
      <c r="B364" s="9"/>
      <c r="C364" s="9"/>
    </row>
    <row r="365" ht="12.75" customHeight="1">
      <c r="A365" s="9"/>
      <c r="B365" s="9"/>
      <c r="C365" s="9"/>
    </row>
    <row r="366" ht="12.75" customHeight="1">
      <c r="A366" s="9"/>
      <c r="B366" s="9"/>
      <c r="C366" s="9"/>
    </row>
    <row r="367" ht="12.75" customHeight="1">
      <c r="A367" s="9"/>
      <c r="B367" s="9"/>
      <c r="C367" s="9"/>
    </row>
    <row r="368" ht="12.75" customHeight="1">
      <c r="A368" s="9"/>
      <c r="B368" s="9"/>
      <c r="C368" s="9"/>
    </row>
    <row r="369" ht="12.75" customHeight="1">
      <c r="A369" s="9"/>
      <c r="B369" s="9"/>
      <c r="C369" s="9"/>
    </row>
    <row r="370" ht="12.75" customHeight="1">
      <c r="A370" s="9"/>
      <c r="B370" s="9"/>
      <c r="C370" s="9"/>
    </row>
    <row r="371" ht="12.75" customHeight="1">
      <c r="A371" s="9"/>
      <c r="B371" s="9"/>
      <c r="C371" s="9"/>
    </row>
    <row r="372" ht="12.75" customHeight="1">
      <c r="A372" s="9"/>
      <c r="B372" s="9"/>
      <c r="C372" s="9"/>
    </row>
    <row r="373" ht="12.75" customHeight="1">
      <c r="A373" s="9"/>
      <c r="B373" s="9"/>
      <c r="C373" s="9"/>
    </row>
    <row r="374" ht="12.75" customHeight="1">
      <c r="A374" s="9"/>
      <c r="B374" s="9"/>
      <c r="C374" s="9"/>
    </row>
    <row r="375" ht="12.75" customHeight="1">
      <c r="A375" s="9"/>
      <c r="B375" s="9"/>
      <c r="C375" s="9"/>
    </row>
    <row r="376" ht="12.75" customHeight="1">
      <c r="A376" s="9"/>
      <c r="B376" s="9"/>
      <c r="C376" s="9"/>
    </row>
    <row r="377" ht="12.75" customHeight="1">
      <c r="A377" s="9"/>
      <c r="B377" s="9"/>
      <c r="C377" s="9"/>
    </row>
    <row r="378" ht="12.75" customHeight="1">
      <c r="A378" s="9"/>
      <c r="B378" s="9"/>
      <c r="C378" s="9"/>
    </row>
    <row r="379" ht="12.75" customHeight="1">
      <c r="A379" s="9"/>
      <c r="B379" s="9"/>
      <c r="C379" s="9"/>
    </row>
    <row r="380" ht="12.75" customHeight="1">
      <c r="A380" s="9"/>
      <c r="B380" s="9"/>
      <c r="C380" s="9"/>
    </row>
    <row r="381" ht="12.75" customHeight="1">
      <c r="A381" s="9"/>
      <c r="B381" s="9"/>
      <c r="C381" s="9"/>
    </row>
    <row r="382" ht="12.75" customHeight="1">
      <c r="A382" s="9"/>
      <c r="B382" s="9"/>
      <c r="C382" s="9"/>
    </row>
    <row r="383" ht="12.75" customHeight="1">
      <c r="A383" s="9"/>
      <c r="B383" s="9"/>
      <c r="C383" s="9"/>
    </row>
    <row r="384" ht="12.75" customHeight="1">
      <c r="A384" s="9"/>
      <c r="B384" s="9"/>
      <c r="C384" s="9"/>
    </row>
    <row r="385" ht="12.75" customHeight="1">
      <c r="A385" s="9"/>
      <c r="B385" s="9"/>
      <c r="C385" s="9"/>
    </row>
    <row r="386" ht="12.75" customHeight="1">
      <c r="A386" s="9"/>
      <c r="B386" s="9"/>
      <c r="C386" s="9"/>
    </row>
    <row r="387" ht="12.75" customHeight="1">
      <c r="A387" s="9"/>
      <c r="B387" s="9"/>
      <c r="C387" s="9"/>
    </row>
    <row r="388" ht="12.75" customHeight="1">
      <c r="A388" s="9"/>
      <c r="B388" s="9"/>
      <c r="C388" s="9"/>
    </row>
    <row r="389" ht="12.75" customHeight="1">
      <c r="A389" s="9"/>
      <c r="B389" s="9"/>
      <c r="C389" s="9"/>
    </row>
    <row r="390" ht="12.75" customHeight="1">
      <c r="A390" s="9"/>
      <c r="B390" s="9"/>
      <c r="C390" s="9"/>
    </row>
    <row r="391" ht="12.75" customHeight="1">
      <c r="A391" s="9"/>
      <c r="B391" s="9"/>
      <c r="C391" s="9"/>
    </row>
    <row r="392" ht="12.75" customHeight="1">
      <c r="A392" s="9"/>
      <c r="B392" s="9"/>
      <c r="C392" s="9"/>
    </row>
    <row r="393" ht="12.75" customHeight="1">
      <c r="A393" s="9"/>
      <c r="B393" s="9"/>
      <c r="C393" s="9"/>
    </row>
    <row r="394" ht="12.75" customHeight="1">
      <c r="A394" s="9"/>
      <c r="B394" s="9"/>
      <c r="C394" s="9"/>
    </row>
    <row r="395" ht="12.75" customHeight="1">
      <c r="A395" s="9"/>
      <c r="B395" s="9"/>
      <c r="C395" s="9"/>
    </row>
    <row r="396" ht="12.75" customHeight="1">
      <c r="A396" s="9"/>
      <c r="B396" s="9"/>
      <c r="C396" s="9"/>
    </row>
    <row r="397" ht="12.75" customHeight="1">
      <c r="A397" s="9"/>
      <c r="B397" s="9"/>
      <c r="C397" s="9"/>
    </row>
    <row r="398" ht="12.75" customHeight="1">
      <c r="A398" s="9"/>
      <c r="B398" s="9"/>
      <c r="C398" s="9"/>
    </row>
    <row r="399" ht="12.75" customHeight="1">
      <c r="A399" s="9"/>
      <c r="B399" s="9"/>
      <c r="C399" s="9"/>
    </row>
    <row r="400" ht="12.75" customHeight="1">
      <c r="A400" s="9"/>
      <c r="B400" s="9"/>
      <c r="C400" s="9"/>
    </row>
    <row r="401" ht="12.75" customHeight="1">
      <c r="A401" s="9"/>
      <c r="B401" s="9"/>
      <c r="C401" s="9"/>
    </row>
    <row r="402" ht="12.75" customHeight="1">
      <c r="A402" s="9"/>
      <c r="B402" s="9"/>
      <c r="C402" s="9"/>
    </row>
    <row r="403" ht="12.75" customHeight="1">
      <c r="A403" s="9"/>
      <c r="B403" s="9"/>
      <c r="C403" s="9"/>
    </row>
    <row r="404" ht="12.75" customHeight="1">
      <c r="A404" s="9"/>
      <c r="B404" s="9"/>
      <c r="C404" s="9"/>
    </row>
    <row r="405" ht="12.75" customHeight="1">
      <c r="A405" s="9"/>
      <c r="B405" s="9"/>
      <c r="C405" s="9"/>
    </row>
    <row r="406" ht="12.75" customHeight="1">
      <c r="A406" s="9"/>
      <c r="B406" s="9"/>
      <c r="C406" s="9"/>
    </row>
    <row r="407" ht="12.75" customHeight="1">
      <c r="A407" s="9"/>
      <c r="B407" s="9"/>
      <c r="C407" s="9"/>
    </row>
    <row r="408" ht="12.75" customHeight="1">
      <c r="A408" s="9"/>
      <c r="B408" s="9"/>
      <c r="C408" s="9"/>
    </row>
    <row r="409" ht="12.75" customHeight="1">
      <c r="A409" s="9"/>
      <c r="B409" s="9"/>
      <c r="C409" s="9"/>
    </row>
    <row r="410" ht="12.75" customHeight="1">
      <c r="A410" s="9"/>
      <c r="B410" s="9"/>
      <c r="C410" s="9"/>
    </row>
    <row r="411" ht="12.75" customHeight="1">
      <c r="A411" s="9"/>
      <c r="B411" s="9"/>
      <c r="C411" s="9"/>
    </row>
    <row r="412" ht="12.75" customHeight="1">
      <c r="A412" s="9"/>
      <c r="B412" s="9"/>
      <c r="C412" s="9"/>
    </row>
    <row r="413" ht="12.75" customHeight="1">
      <c r="A413" s="9"/>
      <c r="B413" s="9"/>
      <c r="C413" s="9"/>
    </row>
    <row r="414" ht="12.75" customHeight="1">
      <c r="A414" s="9"/>
      <c r="B414" s="9"/>
      <c r="C414" s="9"/>
    </row>
    <row r="415" ht="12.75" customHeight="1">
      <c r="A415" s="9"/>
      <c r="B415" s="9"/>
      <c r="C415" s="9"/>
    </row>
    <row r="416" ht="12.75" customHeight="1">
      <c r="A416" s="9"/>
      <c r="B416" s="9"/>
      <c r="C416" s="9"/>
    </row>
    <row r="417" ht="12.75" customHeight="1">
      <c r="A417" s="9"/>
      <c r="B417" s="9"/>
      <c r="C417" s="9"/>
    </row>
    <row r="418" ht="12.75" customHeight="1">
      <c r="A418" s="9"/>
      <c r="B418" s="9"/>
      <c r="C418" s="9"/>
    </row>
    <row r="419" ht="12.75" customHeight="1">
      <c r="A419" s="9"/>
      <c r="B419" s="9"/>
      <c r="C419" s="9"/>
    </row>
    <row r="420" ht="12.75" customHeight="1">
      <c r="A420" s="9"/>
      <c r="B420" s="9"/>
      <c r="C420" s="9"/>
    </row>
    <row r="421" ht="12.75" customHeight="1">
      <c r="A421" s="9"/>
      <c r="B421" s="9"/>
      <c r="C421" s="9"/>
    </row>
    <row r="422" ht="12.75" customHeight="1">
      <c r="A422" s="9"/>
      <c r="B422" s="9"/>
      <c r="C422" s="9"/>
    </row>
    <row r="423" ht="12.75" customHeight="1">
      <c r="A423" s="9"/>
      <c r="B423" s="9"/>
      <c r="C423" s="9"/>
    </row>
    <row r="424" ht="12.75" customHeight="1">
      <c r="A424" s="9"/>
      <c r="B424" s="9"/>
      <c r="C424" s="9"/>
    </row>
    <row r="425" ht="12.75" customHeight="1">
      <c r="A425" s="9"/>
      <c r="B425" s="9"/>
      <c r="C425" s="9"/>
    </row>
    <row r="426" ht="12.75" customHeight="1">
      <c r="A426" s="9"/>
      <c r="B426" s="9"/>
      <c r="C426" s="9"/>
    </row>
    <row r="427" ht="12.75" customHeight="1">
      <c r="A427" s="9"/>
      <c r="B427" s="9"/>
      <c r="C427" s="9"/>
    </row>
    <row r="428" ht="12.75" customHeight="1">
      <c r="A428" s="9"/>
      <c r="B428" s="9"/>
      <c r="C428" s="9"/>
    </row>
    <row r="429" ht="12.75" customHeight="1">
      <c r="A429" s="9"/>
      <c r="B429" s="9"/>
      <c r="C429" s="9"/>
    </row>
    <row r="430" ht="12.75" customHeight="1">
      <c r="A430" s="9"/>
      <c r="B430" s="9"/>
      <c r="C430" s="9"/>
    </row>
    <row r="431" ht="12.75" customHeight="1">
      <c r="A431" s="9"/>
      <c r="B431" s="9"/>
      <c r="C431" s="9"/>
    </row>
    <row r="432" ht="12.75" customHeight="1">
      <c r="A432" s="9"/>
      <c r="B432" s="9"/>
      <c r="C432" s="9"/>
    </row>
    <row r="433" ht="12.75" customHeight="1">
      <c r="A433" s="9"/>
      <c r="B433" s="9"/>
      <c r="C433" s="9"/>
    </row>
    <row r="434" ht="12.75" customHeight="1">
      <c r="A434" s="9"/>
      <c r="B434" s="9"/>
      <c r="C434" s="9"/>
    </row>
    <row r="435" ht="12.75" customHeight="1">
      <c r="A435" s="9"/>
      <c r="B435" s="9"/>
      <c r="C435" s="9"/>
    </row>
    <row r="436" ht="12.75" customHeight="1">
      <c r="A436" s="9"/>
      <c r="B436" s="9"/>
      <c r="C436" s="9"/>
    </row>
    <row r="437" ht="12.75" customHeight="1">
      <c r="A437" s="9"/>
      <c r="B437" s="9"/>
      <c r="C437" s="9"/>
    </row>
    <row r="438" ht="12.75" customHeight="1">
      <c r="A438" s="9"/>
      <c r="B438" s="9"/>
      <c r="C438" s="9"/>
    </row>
    <row r="439" ht="12.75" customHeight="1">
      <c r="A439" s="9"/>
      <c r="B439" s="9"/>
      <c r="C439" s="9"/>
    </row>
    <row r="440" ht="12.75" customHeight="1">
      <c r="A440" s="9"/>
      <c r="B440" s="9"/>
      <c r="C440" s="9"/>
    </row>
    <row r="441" ht="12.75" customHeight="1">
      <c r="A441" s="9"/>
      <c r="B441" s="9"/>
      <c r="C441" s="9"/>
    </row>
    <row r="442" ht="12.75" customHeight="1">
      <c r="A442" s="9"/>
      <c r="B442" s="9"/>
      <c r="C442" s="9"/>
    </row>
    <row r="443" ht="12.75" customHeight="1">
      <c r="A443" s="9"/>
      <c r="B443" s="9"/>
      <c r="C443" s="9"/>
    </row>
    <row r="444" ht="12.75" customHeight="1">
      <c r="A444" s="9"/>
      <c r="B444" s="9"/>
      <c r="C444" s="9"/>
    </row>
    <row r="445" ht="12.75" customHeight="1">
      <c r="A445" s="9"/>
      <c r="B445" s="9"/>
      <c r="C445" s="9"/>
    </row>
    <row r="446" ht="12.75" customHeight="1">
      <c r="A446" s="9"/>
      <c r="B446" s="9"/>
      <c r="C446" s="9"/>
    </row>
    <row r="447" ht="12.75" customHeight="1">
      <c r="A447" s="9"/>
      <c r="B447" s="9"/>
      <c r="C447" s="9"/>
    </row>
    <row r="448" ht="12.75" customHeight="1">
      <c r="A448" s="9"/>
      <c r="B448" s="9"/>
      <c r="C448" s="9"/>
    </row>
    <row r="449" ht="12.75" customHeight="1">
      <c r="A449" s="9"/>
      <c r="B449" s="9"/>
      <c r="C449" s="9"/>
    </row>
    <row r="450" ht="12.75" customHeight="1">
      <c r="A450" s="9"/>
      <c r="B450" s="9"/>
      <c r="C450" s="9"/>
    </row>
    <row r="451" ht="12.75" customHeight="1">
      <c r="A451" s="9"/>
      <c r="B451" s="9"/>
      <c r="C451" s="9"/>
    </row>
    <row r="452" ht="12.75" customHeight="1">
      <c r="A452" s="9"/>
      <c r="B452" s="9"/>
      <c r="C452" s="9"/>
    </row>
    <row r="453" ht="12.75" customHeight="1">
      <c r="A453" s="9"/>
      <c r="B453" s="9"/>
      <c r="C453" s="9"/>
    </row>
    <row r="454" ht="12.75" customHeight="1">
      <c r="A454" s="9"/>
      <c r="B454" s="9"/>
      <c r="C454" s="9"/>
    </row>
    <row r="455" ht="12.75" customHeight="1">
      <c r="A455" s="9"/>
      <c r="B455" s="9"/>
      <c r="C455" s="9"/>
    </row>
    <row r="456" ht="12.75" customHeight="1">
      <c r="A456" s="9"/>
      <c r="B456" s="9"/>
      <c r="C456" s="9"/>
    </row>
    <row r="457" ht="12.75" customHeight="1">
      <c r="A457" s="9"/>
      <c r="B457" s="9"/>
      <c r="C457" s="9"/>
    </row>
    <row r="458" ht="12.75" customHeight="1">
      <c r="A458" s="9"/>
      <c r="B458" s="9"/>
      <c r="C458" s="9"/>
    </row>
    <row r="459" ht="12.75" customHeight="1">
      <c r="A459" s="9"/>
      <c r="B459" s="9"/>
      <c r="C459" s="9"/>
    </row>
    <row r="460" ht="12.75" customHeight="1">
      <c r="A460" s="9"/>
      <c r="B460" s="9"/>
      <c r="C460" s="9"/>
    </row>
    <row r="461" ht="12.75" customHeight="1">
      <c r="A461" s="9"/>
      <c r="B461" s="9"/>
      <c r="C461" s="9"/>
    </row>
    <row r="462" ht="12.75" customHeight="1">
      <c r="A462" s="9"/>
      <c r="B462" s="9"/>
      <c r="C462" s="9"/>
    </row>
    <row r="463" ht="12.75" customHeight="1">
      <c r="A463" s="9"/>
      <c r="B463" s="9"/>
      <c r="C463" s="9"/>
    </row>
    <row r="464" ht="12.75" customHeight="1">
      <c r="A464" s="9"/>
      <c r="B464" s="9"/>
      <c r="C464" s="9"/>
    </row>
    <row r="465" ht="12.75" customHeight="1">
      <c r="A465" s="9"/>
      <c r="B465" s="9"/>
      <c r="C465" s="9"/>
    </row>
    <row r="466" ht="12.75" customHeight="1">
      <c r="A466" s="9"/>
      <c r="B466" s="9"/>
      <c r="C466" s="9"/>
    </row>
    <row r="467" ht="12.75" customHeight="1">
      <c r="A467" s="9"/>
      <c r="B467" s="9"/>
      <c r="C467" s="9"/>
    </row>
    <row r="468" ht="12.75" customHeight="1">
      <c r="A468" s="9"/>
      <c r="B468" s="9"/>
      <c r="C468" s="9"/>
    </row>
    <row r="469" ht="12.75" customHeight="1">
      <c r="A469" s="9"/>
      <c r="B469" s="9"/>
      <c r="C469" s="9"/>
    </row>
    <row r="470" ht="12.75" customHeight="1">
      <c r="A470" s="9"/>
      <c r="B470" s="9"/>
      <c r="C470" s="9"/>
    </row>
    <row r="471" ht="12.75" customHeight="1">
      <c r="A471" s="9"/>
      <c r="B471" s="9"/>
      <c r="C471" s="9"/>
    </row>
    <row r="472" ht="12.75" customHeight="1">
      <c r="A472" s="9"/>
      <c r="B472" s="9"/>
      <c r="C472" s="9"/>
    </row>
    <row r="473" ht="12.75" customHeight="1">
      <c r="A473" s="9"/>
      <c r="B473" s="9"/>
      <c r="C473" s="9"/>
    </row>
    <row r="474" ht="12.75" customHeight="1">
      <c r="A474" s="9"/>
      <c r="B474" s="9"/>
      <c r="C474" s="9"/>
    </row>
    <row r="475" ht="12.75" customHeight="1">
      <c r="A475" s="9"/>
      <c r="B475" s="9"/>
      <c r="C475" s="9"/>
    </row>
    <row r="476" ht="12.75" customHeight="1">
      <c r="A476" s="9"/>
      <c r="B476" s="9"/>
      <c r="C476" s="9"/>
    </row>
    <row r="477" ht="12.75" customHeight="1">
      <c r="A477" s="9"/>
      <c r="B477" s="9"/>
      <c r="C477" s="9"/>
    </row>
    <row r="478" ht="12.75" customHeight="1">
      <c r="A478" s="9"/>
      <c r="B478" s="9"/>
      <c r="C478" s="9"/>
    </row>
    <row r="479" ht="12.75" customHeight="1">
      <c r="A479" s="9"/>
      <c r="B479" s="9"/>
      <c r="C479" s="9"/>
    </row>
    <row r="480" ht="12.75" customHeight="1">
      <c r="A480" s="9"/>
      <c r="B480" s="9"/>
      <c r="C480" s="9"/>
    </row>
    <row r="481" ht="12.75" customHeight="1">
      <c r="A481" s="9"/>
      <c r="B481" s="9"/>
      <c r="C481" s="9"/>
    </row>
    <row r="482" ht="12.75" customHeight="1">
      <c r="A482" s="9"/>
      <c r="B482" s="9"/>
      <c r="C482" s="9"/>
    </row>
    <row r="483" ht="12.75" customHeight="1">
      <c r="A483" s="9"/>
      <c r="B483" s="9"/>
      <c r="C483" s="9"/>
    </row>
    <row r="484" ht="12.75" customHeight="1">
      <c r="A484" s="9"/>
      <c r="B484" s="9"/>
      <c r="C484" s="9"/>
    </row>
    <row r="485" ht="12.75" customHeight="1">
      <c r="A485" s="9"/>
      <c r="B485" s="9"/>
      <c r="C485" s="9"/>
    </row>
    <row r="486" ht="12.75" customHeight="1">
      <c r="A486" s="9"/>
      <c r="B486" s="9"/>
      <c r="C486" s="9"/>
    </row>
    <row r="487" ht="12.75" customHeight="1">
      <c r="A487" s="9"/>
      <c r="B487" s="9"/>
      <c r="C487" s="9"/>
    </row>
    <row r="488" ht="12.75" customHeight="1">
      <c r="A488" s="9"/>
      <c r="B488" s="9"/>
      <c r="C488" s="9"/>
    </row>
    <row r="489" ht="12.75" customHeight="1">
      <c r="A489" s="9"/>
      <c r="B489" s="9"/>
      <c r="C489" s="9"/>
    </row>
    <row r="490" ht="12.75" customHeight="1">
      <c r="A490" s="9"/>
      <c r="B490" s="9"/>
      <c r="C490" s="9"/>
    </row>
    <row r="491" ht="12.75" customHeight="1">
      <c r="A491" s="9"/>
      <c r="B491" s="9"/>
      <c r="C491" s="9"/>
    </row>
    <row r="492" ht="12.75" customHeight="1">
      <c r="A492" s="9"/>
      <c r="B492" s="9"/>
      <c r="C492" s="9"/>
    </row>
    <row r="493" ht="12.75" customHeight="1">
      <c r="A493" s="9"/>
      <c r="B493" s="9"/>
      <c r="C493" s="9"/>
    </row>
    <row r="494" ht="12.75" customHeight="1">
      <c r="A494" s="9"/>
      <c r="B494" s="9"/>
      <c r="C494" s="9"/>
    </row>
    <row r="495" ht="12.75" customHeight="1">
      <c r="A495" s="9"/>
      <c r="B495" s="9"/>
      <c r="C495" s="9"/>
    </row>
    <row r="496" ht="12.75" customHeight="1">
      <c r="A496" s="9"/>
      <c r="B496" s="9"/>
      <c r="C496" s="9"/>
    </row>
    <row r="497" ht="12.75" customHeight="1">
      <c r="A497" s="9"/>
      <c r="B497" s="9"/>
      <c r="C497" s="9"/>
    </row>
    <row r="498" ht="12.75" customHeight="1">
      <c r="A498" s="9"/>
      <c r="B498" s="9"/>
      <c r="C498" s="9"/>
    </row>
    <row r="499" ht="12.75" customHeight="1">
      <c r="A499" s="9"/>
      <c r="B499" s="9"/>
      <c r="C499" s="9"/>
    </row>
    <row r="500" ht="12.75" customHeight="1">
      <c r="A500" s="9"/>
      <c r="B500" s="9"/>
      <c r="C500" s="9"/>
    </row>
    <row r="501" ht="12.75" customHeight="1">
      <c r="A501" s="9"/>
      <c r="B501" s="9"/>
      <c r="C501" s="9"/>
    </row>
    <row r="502" ht="12.75" customHeight="1">
      <c r="A502" s="9"/>
      <c r="B502" s="9"/>
      <c r="C502" s="9"/>
    </row>
    <row r="503" ht="12.75" customHeight="1">
      <c r="A503" s="9"/>
      <c r="B503" s="9"/>
      <c r="C503" s="9"/>
    </row>
    <row r="504" ht="12.75" customHeight="1">
      <c r="A504" s="9"/>
      <c r="B504" s="9"/>
      <c r="C504" s="9"/>
    </row>
    <row r="505" ht="12.75" customHeight="1">
      <c r="A505" s="9"/>
      <c r="B505" s="9"/>
      <c r="C505" s="9"/>
    </row>
    <row r="506" ht="12.75" customHeight="1">
      <c r="A506" s="9"/>
      <c r="B506" s="9"/>
      <c r="C506" s="9"/>
    </row>
    <row r="507" ht="12.75" customHeight="1">
      <c r="A507" s="9"/>
      <c r="B507" s="9"/>
      <c r="C507" s="9"/>
    </row>
    <row r="508" ht="12.75" customHeight="1">
      <c r="A508" s="9"/>
      <c r="B508" s="9"/>
      <c r="C508" s="9"/>
    </row>
    <row r="509" ht="12.75" customHeight="1">
      <c r="A509" s="9"/>
      <c r="B509" s="9"/>
      <c r="C509" s="9"/>
    </row>
    <row r="510" ht="12.75" customHeight="1">
      <c r="A510" s="9"/>
      <c r="B510" s="9"/>
      <c r="C510" s="9"/>
    </row>
    <row r="511" ht="12.75" customHeight="1">
      <c r="A511" s="9"/>
      <c r="B511" s="9"/>
      <c r="C511" s="9"/>
    </row>
    <row r="512" ht="12.75" customHeight="1">
      <c r="A512" s="9"/>
      <c r="B512" s="9"/>
      <c r="C512" s="9"/>
    </row>
    <row r="513" ht="12.75" customHeight="1">
      <c r="A513" s="9"/>
      <c r="B513" s="9"/>
      <c r="C513" s="9"/>
    </row>
    <row r="514" ht="12.75" customHeight="1">
      <c r="A514" s="9"/>
      <c r="B514" s="9"/>
      <c r="C514" s="9"/>
    </row>
    <row r="515" ht="12.75" customHeight="1">
      <c r="A515" s="9"/>
      <c r="B515" s="9"/>
      <c r="C515" s="9"/>
    </row>
    <row r="516" ht="12.75" customHeight="1">
      <c r="A516" s="9"/>
      <c r="B516" s="9"/>
      <c r="C516" s="9"/>
    </row>
    <row r="517" ht="12.75" customHeight="1">
      <c r="A517" s="9"/>
      <c r="B517" s="9"/>
      <c r="C517" s="9"/>
    </row>
    <row r="518" ht="12.75" customHeight="1">
      <c r="A518" s="9"/>
      <c r="B518" s="9"/>
      <c r="C518" s="9"/>
    </row>
    <row r="519" ht="12.75" customHeight="1">
      <c r="A519" s="9"/>
      <c r="B519" s="9"/>
      <c r="C519" s="9"/>
    </row>
    <row r="520" ht="12.75" customHeight="1">
      <c r="A520" s="9"/>
      <c r="B520" s="9"/>
      <c r="C520" s="9"/>
    </row>
    <row r="521" ht="12.75" customHeight="1">
      <c r="A521" s="9"/>
      <c r="B521" s="9"/>
      <c r="C521" s="9"/>
    </row>
    <row r="522" ht="12.75" customHeight="1">
      <c r="A522" s="9"/>
      <c r="B522" s="9"/>
      <c r="C522" s="9"/>
    </row>
    <row r="523" ht="12.75" customHeight="1">
      <c r="A523" s="9"/>
      <c r="B523" s="9"/>
      <c r="C523" s="9"/>
    </row>
    <row r="524" ht="12.75" customHeight="1">
      <c r="A524" s="9"/>
      <c r="B524" s="9"/>
      <c r="C524" s="9"/>
    </row>
    <row r="525" ht="12.75" customHeight="1">
      <c r="A525" s="9"/>
      <c r="B525" s="9"/>
      <c r="C525" s="9"/>
    </row>
    <row r="526" ht="12.75" customHeight="1">
      <c r="A526" s="9"/>
      <c r="B526" s="9"/>
      <c r="C526" s="9"/>
    </row>
    <row r="527" ht="12.75" customHeight="1">
      <c r="A527" s="9"/>
      <c r="B527" s="9"/>
      <c r="C527" s="9"/>
    </row>
    <row r="528" ht="12.75" customHeight="1">
      <c r="A528" s="9"/>
      <c r="B528" s="9"/>
      <c r="C528" s="9"/>
    </row>
    <row r="529" ht="12.75" customHeight="1">
      <c r="A529" s="9"/>
      <c r="B529" s="9"/>
      <c r="C529" s="9"/>
    </row>
    <row r="530" ht="12.75" customHeight="1">
      <c r="A530" s="9"/>
      <c r="B530" s="9"/>
      <c r="C530" s="9"/>
    </row>
    <row r="531" ht="12.75" customHeight="1">
      <c r="A531" s="9"/>
      <c r="B531" s="9"/>
      <c r="C531" s="9"/>
    </row>
    <row r="532" ht="12.75" customHeight="1">
      <c r="A532" s="9"/>
      <c r="B532" s="9"/>
      <c r="C532" s="9"/>
    </row>
    <row r="533" ht="12.75" customHeight="1">
      <c r="A533" s="9"/>
      <c r="B533" s="9"/>
      <c r="C533" s="9"/>
    </row>
    <row r="534" ht="12.75" customHeight="1">
      <c r="A534" s="9"/>
      <c r="B534" s="9"/>
      <c r="C534" s="9"/>
    </row>
    <row r="535" ht="12.75" customHeight="1">
      <c r="A535" s="9"/>
      <c r="B535" s="9"/>
      <c r="C535" s="9"/>
    </row>
    <row r="536" ht="12.75" customHeight="1">
      <c r="A536" s="9"/>
      <c r="B536" s="9"/>
      <c r="C536" s="9"/>
    </row>
    <row r="537" ht="12.75" customHeight="1">
      <c r="A537" s="9"/>
      <c r="B537" s="9"/>
      <c r="C537" s="9"/>
    </row>
    <row r="538" ht="12.75" customHeight="1">
      <c r="A538" s="9"/>
      <c r="B538" s="9"/>
      <c r="C538" s="9"/>
    </row>
    <row r="539" ht="12.75" customHeight="1">
      <c r="A539" s="9"/>
      <c r="B539" s="9"/>
      <c r="C539" s="9"/>
    </row>
    <row r="540" ht="12.75" customHeight="1">
      <c r="A540" s="9"/>
      <c r="B540" s="9"/>
      <c r="C540" s="9"/>
    </row>
    <row r="541" ht="12.75" customHeight="1">
      <c r="A541" s="9"/>
      <c r="B541" s="9"/>
      <c r="C541" s="9"/>
    </row>
    <row r="542" ht="12.75" customHeight="1">
      <c r="A542" s="9"/>
      <c r="B542" s="9"/>
      <c r="C542" s="9"/>
    </row>
    <row r="543" ht="12.75" customHeight="1">
      <c r="A543" s="9"/>
      <c r="B543" s="9"/>
      <c r="C543" s="9"/>
    </row>
    <row r="544" ht="12.75" customHeight="1">
      <c r="A544" s="9"/>
      <c r="B544" s="9"/>
      <c r="C544" s="9"/>
    </row>
    <row r="545" ht="12.75" customHeight="1">
      <c r="A545" s="9"/>
      <c r="B545" s="9"/>
      <c r="C545" s="9"/>
    </row>
    <row r="546" ht="12.75" customHeight="1">
      <c r="A546" s="9"/>
      <c r="B546" s="9"/>
      <c r="C546" s="9"/>
    </row>
    <row r="547" ht="12.75" customHeight="1">
      <c r="A547" s="9"/>
      <c r="B547" s="9"/>
      <c r="C547" s="9"/>
    </row>
    <row r="548" ht="12.75" customHeight="1">
      <c r="A548" s="9"/>
      <c r="B548" s="9"/>
      <c r="C548" s="9"/>
    </row>
    <row r="549" ht="12.75" customHeight="1">
      <c r="A549" s="9"/>
      <c r="B549" s="9"/>
      <c r="C549" s="9"/>
    </row>
    <row r="550" ht="12.75" customHeight="1">
      <c r="A550" s="9"/>
      <c r="B550" s="9"/>
      <c r="C550" s="9"/>
    </row>
    <row r="551" ht="12.75" customHeight="1">
      <c r="A551" s="9"/>
      <c r="B551" s="9"/>
      <c r="C551" s="9"/>
    </row>
    <row r="552" ht="12.75" customHeight="1">
      <c r="A552" s="9"/>
      <c r="B552" s="9"/>
      <c r="C552" s="9"/>
    </row>
    <row r="553" ht="12.75" customHeight="1">
      <c r="A553" s="9"/>
      <c r="B553" s="9"/>
      <c r="C553" s="9"/>
    </row>
    <row r="554" ht="12.75" customHeight="1">
      <c r="A554" s="9"/>
      <c r="B554" s="9"/>
      <c r="C554" s="9"/>
    </row>
    <row r="555" ht="12.75" customHeight="1">
      <c r="A555" s="9"/>
      <c r="B555" s="9"/>
      <c r="C555" s="9"/>
    </row>
    <row r="556" ht="12.75" customHeight="1">
      <c r="A556" s="9"/>
      <c r="B556" s="9"/>
      <c r="C556" s="9"/>
    </row>
    <row r="557" ht="12.75" customHeight="1">
      <c r="A557" s="9"/>
      <c r="B557" s="9"/>
      <c r="C557" s="9"/>
    </row>
    <row r="558" ht="12.75" customHeight="1">
      <c r="A558" s="9"/>
      <c r="B558" s="9"/>
      <c r="C558" s="9"/>
    </row>
    <row r="559" ht="12.75" customHeight="1">
      <c r="A559" s="9"/>
      <c r="B559" s="9"/>
      <c r="C559" s="9"/>
    </row>
    <row r="560" ht="12.75" customHeight="1">
      <c r="A560" s="9"/>
      <c r="B560" s="9"/>
      <c r="C560" s="9"/>
    </row>
    <row r="561" ht="12.75" customHeight="1">
      <c r="A561" s="9"/>
      <c r="B561" s="9"/>
      <c r="C561" s="9"/>
    </row>
    <row r="562" ht="12.75" customHeight="1">
      <c r="A562" s="9"/>
      <c r="B562" s="9"/>
      <c r="C562" s="9"/>
    </row>
    <row r="563" ht="12.75" customHeight="1">
      <c r="A563" s="9"/>
      <c r="B563" s="9"/>
      <c r="C563" s="9"/>
    </row>
    <row r="564" ht="12.75" customHeight="1">
      <c r="A564" s="9"/>
      <c r="B564" s="9"/>
      <c r="C564" s="9"/>
    </row>
    <row r="565" ht="12.75" customHeight="1">
      <c r="A565" s="9"/>
      <c r="B565" s="9"/>
      <c r="C565" s="9"/>
    </row>
    <row r="566" ht="12.75" customHeight="1">
      <c r="A566" s="9"/>
      <c r="B566" s="9"/>
      <c r="C566" s="9"/>
    </row>
    <row r="567" ht="12.75" customHeight="1">
      <c r="A567" s="9"/>
      <c r="B567" s="9"/>
      <c r="C567" s="9"/>
    </row>
    <row r="568" ht="12.75" customHeight="1">
      <c r="A568" s="9"/>
      <c r="B568" s="9"/>
      <c r="C568" s="9"/>
    </row>
    <row r="569" ht="12.75" customHeight="1">
      <c r="A569" s="9"/>
      <c r="B569" s="9"/>
      <c r="C569" s="9"/>
    </row>
    <row r="570" ht="12.75" customHeight="1">
      <c r="A570" s="9"/>
      <c r="B570" s="9"/>
      <c r="C570" s="9"/>
    </row>
    <row r="571" ht="12.75" customHeight="1">
      <c r="A571" s="9"/>
      <c r="B571" s="9"/>
      <c r="C571" s="9"/>
    </row>
    <row r="572" ht="12.75" customHeight="1">
      <c r="A572" s="9"/>
      <c r="B572" s="9"/>
      <c r="C572" s="9"/>
    </row>
    <row r="573" ht="12.75" customHeight="1">
      <c r="A573" s="9"/>
      <c r="B573" s="9"/>
      <c r="C573" s="9"/>
    </row>
    <row r="574" ht="12.75" customHeight="1">
      <c r="A574" s="9"/>
      <c r="B574" s="9"/>
      <c r="C574" s="9"/>
    </row>
    <row r="575" ht="12.75" customHeight="1">
      <c r="A575" s="9"/>
      <c r="B575" s="9"/>
      <c r="C575" s="9"/>
    </row>
    <row r="576" ht="12.75" customHeight="1">
      <c r="A576" s="9"/>
      <c r="B576" s="9"/>
      <c r="C576" s="9"/>
    </row>
    <row r="577" ht="12.75" customHeight="1">
      <c r="A577" s="9"/>
      <c r="B577" s="9"/>
      <c r="C577" s="9"/>
    </row>
    <row r="578" ht="12.75" customHeight="1">
      <c r="A578" s="9"/>
      <c r="B578" s="9"/>
      <c r="C578" s="9"/>
    </row>
    <row r="579" ht="12.75" customHeight="1">
      <c r="A579" s="9"/>
      <c r="B579" s="9"/>
      <c r="C579" s="9"/>
    </row>
    <row r="580" ht="12.75" customHeight="1">
      <c r="A580" s="9"/>
      <c r="B580" s="9"/>
      <c r="C580" s="9"/>
    </row>
    <row r="581" ht="12.75" customHeight="1">
      <c r="A581" s="9"/>
      <c r="B581" s="9"/>
      <c r="C581" s="9"/>
    </row>
    <row r="582" ht="12.75" customHeight="1">
      <c r="A582" s="9"/>
      <c r="B582" s="9"/>
      <c r="C582" s="9"/>
    </row>
    <row r="583" ht="12.75" customHeight="1">
      <c r="A583" s="9"/>
      <c r="B583" s="9"/>
      <c r="C583" s="9"/>
    </row>
    <row r="584" ht="12.75" customHeight="1">
      <c r="A584" s="9"/>
      <c r="B584" s="9"/>
      <c r="C584" s="9"/>
    </row>
    <row r="585" ht="12.75" customHeight="1">
      <c r="A585" s="9"/>
      <c r="B585" s="9"/>
      <c r="C585" s="9"/>
    </row>
    <row r="586" ht="12.75" customHeight="1">
      <c r="A586" s="9"/>
      <c r="B586" s="9"/>
      <c r="C586" s="9"/>
    </row>
    <row r="587" ht="12.75" customHeight="1">
      <c r="A587" s="9"/>
      <c r="B587" s="9"/>
      <c r="C587" s="9"/>
    </row>
    <row r="588" ht="12.75" customHeight="1">
      <c r="A588" s="9"/>
      <c r="B588" s="9"/>
      <c r="C588" s="9"/>
    </row>
    <row r="589" ht="12.75" customHeight="1">
      <c r="A589" s="9"/>
      <c r="B589" s="9"/>
      <c r="C589" s="9"/>
    </row>
    <row r="590" ht="12.75" customHeight="1">
      <c r="A590" s="9"/>
      <c r="B590" s="9"/>
      <c r="C590" s="9"/>
    </row>
    <row r="591" ht="12.75" customHeight="1">
      <c r="A591" s="9"/>
      <c r="B591" s="9"/>
      <c r="C591" s="9"/>
    </row>
    <row r="592" ht="12.75" customHeight="1">
      <c r="A592" s="9"/>
      <c r="B592" s="9"/>
      <c r="C592" s="9"/>
    </row>
    <row r="593" ht="12.75" customHeight="1">
      <c r="A593" s="9"/>
      <c r="B593" s="9"/>
      <c r="C593" s="9"/>
    </row>
    <row r="594" ht="12.75" customHeight="1">
      <c r="A594" s="9"/>
      <c r="B594" s="9"/>
      <c r="C594" s="9"/>
    </row>
    <row r="595" ht="12.75" customHeight="1">
      <c r="A595" s="9"/>
      <c r="B595" s="9"/>
      <c r="C595" s="9"/>
    </row>
    <row r="596" ht="12.75" customHeight="1">
      <c r="A596" s="9"/>
      <c r="B596" s="9"/>
      <c r="C596" s="9"/>
    </row>
    <row r="597" ht="12.75" customHeight="1">
      <c r="A597" s="9"/>
      <c r="B597" s="9"/>
      <c r="C597" s="9"/>
    </row>
    <row r="598" ht="12.75" customHeight="1">
      <c r="A598" s="9"/>
      <c r="B598" s="9"/>
      <c r="C598" s="9"/>
    </row>
    <row r="599" ht="12.75" customHeight="1">
      <c r="A599" s="9"/>
      <c r="B599" s="9"/>
      <c r="C599" s="9"/>
    </row>
    <row r="600" ht="12.75" customHeight="1">
      <c r="A600" s="9"/>
      <c r="B600" s="9"/>
      <c r="C600" s="9"/>
    </row>
    <row r="601" ht="12.75" customHeight="1">
      <c r="A601" s="9"/>
      <c r="B601" s="9"/>
      <c r="C601" s="9"/>
    </row>
    <row r="602" ht="12.75" customHeight="1">
      <c r="A602" s="9"/>
      <c r="B602" s="9"/>
      <c r="C602" s="9"/>
    </row>
    <row r="603" ht="12.75" customHeight="1">
      <c r="A603" s="9"/>
      <c r="B603" s="9"/>
      <c r="C603" s="9"/>
    </row>
    <row r="604" ht="12.75" customHeight="1">
      <c r="A604" s="9"/>
      <c r="B604" s="9"/>
      <c r="C604" s="9"/>
    </row>
    <row r="605" ht="12.75" customHeight="1">
      <c r="A605" s="9"/>
      <c r="B605" s="9"/>
      <c r="C605" s="9"/>
    </row>
    <row r="606" ht="12.75" customHeight="1">
      <c r="A606" s="9"/>
      <c r="B606" s="9"/>
      <c r="C606" s="9"/>
    </row>
    <row r="607" ht="12.75" customHeight="1">
      <c r="A607" s="9"/>
      <c r="B607" s="9"/>
      <c r="C607" s="9"/>
    </row>
    <row r="608" ht="12.75" customHeight="1">
      <c r="A608" s="9"/>
      <c r="B608" s="9"/>
      <c r="C608" s="9"/>
    </row>
    <row r="609" ht="12.75" customHeight="1">
      <c r="A609" s="9"/>
      <c r="B609" s="9"/>
      <c r="C609" s="9"/>
    </row>
    <row r="610" ht="12.75" customHeight="1">
      <c r="A610" s="9"/>
      <c r="B610" s="9"/>
      <c r="C610" s="9"/>
    </row>
    <row r="611" ht="12.75" customHeight="1">
      <c r="A611" s="9"/>
      <c r="B611" s="9"/>
      <c r="C611" s="9"/>
    </row>
    <row r="612" ht="12.75" customHeight="1">
      <c r="A612" s="9"/>
      <c r="B612" s="9"/>
      <c r="C612" s="9"/>
    </row>
    <row r="613" ht="12.75" customHeight="1">
      <c r="A613" s="9"/>
      <c r="B613" s="9"/>
      <c r="C613" s="9"/>
    </row>
    <row r="614" ht="12.75" customHeight="1">
      <c r="A614" s="9"/>
      <c r="B614" s="9"/>
      <c r="C614" s="9"/>
    </row>
    <row r="615" ht="12.75" customHeight="1">
      <c r="A615" s="9"/>
      <c r="B615" s="9"/>
      <c r="C615" s="9"/>
    </row>
    <row r="616" ht="12.75" customHeight="1">
      <c r="A616" s="9"/>
      <c r="B616" s="9"/>
      <c r="C616" s="9"/>
    </row>
    <row r="617" ht="12.75" customHeight="1">
      <c r="A617" s="9"/>
      <c r="B617" s="9"/>
      <c r="C617" s="9"/>
    </row>
    <row r="618" ht="12.75" customHeight="1">
      <c r="A618" s="9"/>
      <c r="B618" s="9"/>
      <c r="C618" s="9"/>
    </row>
    <row r="619" ht="12.75" customHeight="1">
      <c r="A619" s="9"/>
      <c r="B619" s="9"/>
      <c r="C619" s="9"/>
    </row>
    <row r="620" ht="12.75" customHeight="1">
      <c r="A620" s="9"/>
      <c r="B620" s="9"/>
      <c r="C620" s="9"/>
    </row>
    <row r="621" ht="12.75" customHeight="1">
      <c r="A621" s="9"/>
      <c r="B621" s="9"/>
      <c r="C621" s="9"/>
    </row>
    <row r="622" ht="12.75" customHeight="1">
      <c r="A622" s="9"/>
      <c r="B622" s="9"/>
      <c r="C622" s="9"/>
    </row>
    <row r="623" ht="12.75" customHeight="1">
      <c r="A623" s="9"/>
      <c r="B623" s="9"/>
      <c r="C623" s="9"/>
    </row>
    <row r="624" ht="12.75" customHeight="1">
      <c r="A624" s="9"/>
      <c r="B624" s="9"/>
      <c r="C624" s="9"/>
    </row>
    <row r="625" ht="12.75" customHeight="1">
      <c r="A625" s="9"/>
      <c r="B625" s="9"/>
      <c r="C625" s="9"/>
    </row>
    <row r="626" ht="12.75" customHeight="1">
      <c r="A626" s="9"/>
      <c r="B626" s="9"/>
      <c r="C626" s="9"/>
    </row>
    <row r="627" ht="12.75" customHeight="1">
      <c r="A627" s="9"/>
      <c r="B627" s="9"/>
      <c r="C627" s="9"/>
    </row>
    <row r="628" ht="12.75" customHeight="1">
      <c r="A628" s="9"/>
      <c r="B628" s="9"/>
      <c r="C628" s="9"/>
    </row>
    <row r="629" ht="12.75" customHeight="1">
      <c r="A629" s="9"/>
      <c r="B629" s="9"/>
      <c r="C629" s="9"/>
    </row>
    <row r="630" ht="12.75" customHeight="1">
      <c r="A630" s="9"/>
      <c r="B630" s="9"/>
      <c r="C630" s="9"/>
    </row>
    <row r="631" ht="12.75" customHeight="1">
      <c r="A631" s="9"/>
      <c r="B631" s="9"/>
      <c r="C631" s="9"/>
    </row>
    <row r="632" ht="12.75" customHeight="1">
      <c r="A632" s="9"/>
      <c r="B632" s="9"/>
      <c r="C632" s="9"/>
    </row>
    <row r="633" ht="12.75" customHeight="1">
      <c r="A633" s="9"/>
      <c r="B633" s="9"/>
      <c r="C633" s="9"/>
    </row>
    <row r="634" ht="12.75" customHeight="1">
      <c r="A634" s="9"/>
      <c r="B634" s="9"/>
      <c r="C634" s="9"/>
    </row>
    <row r="635" ht="12.75" customHeight="1">
      <c r="A635" s="9"/>
      <c r="B635" s="9"/>
      <c r="C635" s="9"/>
    </row>
    <row r="636" ht="12.75" customHeight="1">
      <c r="A636" s="9"/>
      <c r="B636" s="9"/>
      <c r="C636" s="9"/>
    </row>
    <row r="637" ht="12.75" customHeight="1">
      <c r="A637" s="9"/>
      <c r="B637" s="9"/>
      <c r="C637" s="9"/>
    </row>
    <row r="638" ht="12.75" customHeight="1">
      <c r="A638" s="9"/>
      <c r="B638" s="9"/>
      <c r="C638" s="9"/>
    </row>
    <row r="639" ht="12.75" customHeight="1">
      <c r="A639" s="9"/>
      <c r="B639" s="9"/>
      <c r="C639" s="9"/>
    </row>
    <row r="640" ht="12.75" customHeight="1">
      <c r="A640" s="9"/>
      <c r="B640" s="9"/>
      <c r="C640" s="9"/>
    </row>
    <row r="641" ht="12.75" customHeight="1">
      <c r="A641" s="9"/>
      <c r="B641" s="9"/>
      <c r="C641" s="9"/>
    </row>
    <row r="642" ht="12.75" customHeight="1">
      <c r="A642" s="9"/>
      <c r="B642" s="9"/>
      <c r="C642" s="9"/>
    </row>
    <row r="643" ht="12.75" customHeight="1">
      <c r="A643" s="9"/>
      <c r="B643" s="9"/>
      <c r="C643" s="9"/>
    </row>
    <row r="644" ht="12.75" customHeight="1">
      <c r="A644" s="9"/>
      <c r="B644" s="9"/>
      <c r="C644" s="9"/>
    </row>
    <row r="645" ht="12.75" customHeight="1">
      <c r="A645" s="9"/>
      <c r="B645" s="9"/>
      <c r="C645" s="9"/>
    </row>
    <row r="646" ht="12.75" customHeight="1">
      <c r="A646" s="9"/>
      <c r="B646" s="9"/>
      <c r="C646" s="9"/>
    </row>
    <row r="647" ht="12.75" customHeight="1">
      <c r="A647" s="9"/>
      <c r="B647" s="9"/>
      <c r="C647" s="9"/>
    </row>
    <row r="648" ht="12.75" customHeight="1">
      <c r="A648" s="9"/>
      <c r="B648" s="9"/>
      <c r="C648" s="9"/>
    </row>
    <row r="649" ht="12.75" customHeight="1">
      <c r="A649" s="9"/>
      <c r="B649" s="9"/>
      <c r="C649" s="9"/>
    </row>
    <row r="650" ht="12.75" customHeight="1">
      <c r="A650" s="9"/>
      <c r="B650" s="9"/>
      <c r="C650" s="9"/>
    </row>
    <row r="651" ht="12.75" customHeight="1">
      <c r="A651" s="9"/>
      <c r="B651" s="9"/>
      <c r="C651" s="9"/>
    </row>
    <row r="652" ht="12.75" customHeight="1">
      <c r="A652" s="9"/>
      <c r="B652" s="9"/>
      <c r="C652" s="9"/>
    </row>
    <row r="653" ht="12.75" customHeight="1">
      <c r="A653" s="9"/>
      <c r="B653" s="9"/>
      <c r="C653" s="9"/>
    </row>
    <row r="654" ht="12.75" customHeight="1">
      <c r="A654" s="9"/>
      <c r="B654" s="9"/>
      <c r="C654" s="9"/>
    </row>
    <row r="655" ht="12.75" customHeight="1">
      <c r="A655" s="9"/>
      <c r="B655" s="9"/>
      <c r="C655" s="9"/>
    </row>
    <row r="656" ht="12.75" customHeight="1">
      <c r="A656" s="9"/>
      <c r="B656" s="9"/>
      <c r="C656" s="9"/>
    </row>
    <row r="657" ht="12.75" customHeight="1">
      <c r="A657" s="9"/>
      <c r="B657" s="9"/>
      <c r="C657" s="9"/>
    </row>
    <row r="658" ht="12.75" customHeight="1">
      <c r="A658" s="9"/>
      <c r="B658" s="9"/>
      <c r="C658" s="9"/>
    </row>
    <row r="659" ht="12.75" customHeight="1">
      <c r="A659" s="9"/>
      <c r="B659" s="9"/>
      <c r="C659" s="9"/>
    </row>
    <row r="660" ht="12.75" customHeight="1">
      <c r="A660" s="9"/>
      <c r="B660" s="9"/>
      <c r="C660" s="9"/>
    </row>
    <row r="661" ht="12.75" customHeight="1">
      <c r="A661" s="9"/>
      <c r="B661" s="9"/>
      <c r="C661" s="9"/>
    </row>
    <row r="662" ht="12.75" customHeight="1">
      <c r="A662" s="9"/>
      <c r="B662" s="9"/>
      <c r="C662" s="9"/>
    </row>
    <row r="663" ht="12.75" customHeight="1">
      <c r="A663" s="9"/>
      <c r="B663" s="9"/>
      <c r="C663" s="9"/>
    </row>
    <row r="664" ht="12.75" customHeight="1">
      <c r="A664" s="9"/>
      <c r="B664" s="9"/>
      <c r="C664" s="9"/>
    </row>
    <row r="665" ht="12.75" customHeight="1">
      <c r="A665" s="9"/>
      <c r="B665" s="9"/>
      <c r="C665" s="9"/>
    </row>
    <row r="666" ht="12.75" customHeight="1">
      <c r="A666" s="9"/>
      <c r="B666" s="9"/>
      <c r="C666" s="9"/>
    </row>
    <row r="667" ht="12.75" customHeight="1">
      <c r="A667" s="9"/>
      <c r="B667" s="9"/>
      <c r="C667" s="9"/>
    </row>
    <row r="668" ht="12.75" customHeight="1">
      <c r="A668" s="9"/>
      <c r="B668" s="9"/>
      <c r="C668" s="9"/>
    </row>
    <row r="669" ht="12.75" customHeight="1">
      <c r="A669" s="9"/>
      <c r="B669" s="9"/>
      <c r="C669" s="9"/>
    </row>
    <row r="670" ht="12.75" customHeight="1">
      <c r="A670" s="9"/>
      <c r="B670" s="9"/>
      <c r="C670" s="9"/>
    </row>
    <row r="671" ht="12.75" customHeight="1">
      <c r="A671" s="9"/>
      <c r="B671" s="9"/>
      <c r="C671" s="9"/>
    </row>
    <row r="672" ht="12.75" customHeight="1">
      <c r="A672" s="9"/>
      <c r="B672" s="9"/>
      <c r="C672" s="9"/>
    </row>
    <row r="673" ht="12.75" customHeight="1">
      <c r="A673" s="9"/>
      <c r="B673" s="9"/>
      <c r="C673" s="9"/>
    </row>
    <row r="674" ht="12.75" customHeight="1">
      <c r="A674" s="9"/>
      <c r="B674" s="9"/>
      <c r="C674" s="9"/>
    </row>
    <row r="675" ht="12.75" customHeight="1">
      <c r="A675" s="9"/>
      <c r="B675" s="9"/>
      <c r="C675" s="9"/>
    </row>
    <row r="676" ht="12.75" customHeight="1">
      <c r="A676" s="9"/>
      <c r="B676" s="9"/>
      <c r="C676" s="9"/>
    </row>
    <row r="677" ht="12.75" customHeight="1">
      <c r="A677" s="9"/>
      <c r="B677" s="9"/>
      <c r="C677" s="9"/>
    </row>
    <row r="678" ht="12.75" customHeight="1">
      <c r="A678" s="9"/>
      <c r="B678" s="9"/>
      <c r="C678" s="9"/>
    </row>
    <row r="679" ht="12.75" customHeight="1">
      <c r="A679" s="9"/>
      <c r="B679" s="9"/>
      <c r="C679" s="9"/>
    </row>
    <row r="680" ht="12.75" customHeight="1">
      <c r="A680" s="9"/>
      <c r="B680" s="9"/>
      <c r="C680" s="9"/>
    </row>
    <row r="681" ht="12.75" customHeight="1">
      <c r="A681" s="9"/>
      <c r="B681" s="9"/>
      <c r="C681" s="9"/>
    </row>
    <row r="682" ht="12.75" customHeight="1">
      <c r="A682" s="9"/>
      <c r="B682" s="9"/>
      <c r="C682" s="9"/>
    </row>
    <row r="683" ht="12.75" customHeight="1">
      <c r="A683" s="9"/>
      <c r="B683" s="9"/>
      <c r="C683" s="9"/>
    </row>
    <row r="684" ht="12.75" customHeight="1">
      <c r="A684" s="9"/>
      <c r="B684" s="9"/>
      <c r="C684" s="9"/>
    </row>
    <row r="685" ht="12.75" customHeight="1">
      <c r="A685" s="9"/>
      <c r="B685" s="9"/>
      <c r="C685" s="9"/>
    </row>
    <row r="686" ht="12.75" customHeight="1">
      <c r="A686" s="9"/>
      <c r="B686" s="9"/>
      <c r="C686" s="9"/>
    </row>
    <row r="687" ht="12.75" customHeight="1">
      <c r="A687" s="9"/>
      <c r="B687" s="9"/>
      <c r="C687" s="9"/>
    </row>
    <row r="688" ht="12.75" customHeight="1">
      <c r="A688" s="9"/>
      <c r="B688" s="9"/>
      <c r="C688" s="9"/>
    </row>
    <row r="689" ht="12.75" customHeight="1">
      <c r="A689" s="9"/>
      <c r="B689" s="9"/>
      <c r="C689" s="9"/>
    </row>
    <row r="690" ht="12.75" customHeight="1">
      <c r="A690" s="9"/>
      <c r="B690" s="9"/>
      <c r="C690" s="9"/>
    </row>
    <row r="691" ht="12.75" customHeight="1">
      <c r="A691" s="9"/>
      <c r="B691" s="9"/>
      <c r="C691" s="9"/>
    </row>
    <row r="692" ht="12.75" customHeight="1">
      <c r="A692" s="9"/>
      <c r="B692" s="9"/>
      <c r="C692" s="9"/>
    </row>
    <row r="693" ht="12.75" customHeight="1">
      <c r="A693" s="9"/>
      <c r="B693" s="9"/>
      <c r="C693" s="9"/>
    </row>
    <row r="694" ht="12.75" customHeight="1">
      <c r="A694" s="9"/>
      <c r="B694" s="9"/>
      <c r="C694" s="9"/>
    </row>
    <row r="695" ht="12.75" customHeight="1">
      <c r="A695" s="9"/>
      <c r="B695" s="9"/>
      <c r="C695" s="9"/>
    </row>
    <row r="696" ht="12.75" customHeight="1">
      <c r="A696" s="9"/>
      <c r="B696" s="9"/>
      <c r="C696" s="9"/>
    </row>
    <row r="697" ht="12.75" customHeight="1">
      <c r="A697" s="9"/>
      <c r="B697" s="9"/>
      <c r="C697" s="9"/>
    </row>
    <row r="698" ht="12.75" customHeight="1">
      <c r="A698" s="9"/>
      <c r="B698" s="9"/>
      <c r="C698" s="9"/>
    </row>
    <row r="699" ht="12.75" customHeight="1">
      <c r="A699" s="9"/>
      <c r="B699" s="9"/>
      <c r="C699" s="9"/>
    </row>
    <row r="700" ht="12.75" customHeight="1">
      <c r="A700" s="9"/>
      <c r="B700" s="9"/>
      <c r="C700" s="9"/>
    </row>
    <row r="701" ht="12.75" customHeight="1">
      <c r="A701" s="9"/>
      <c r="B701" s="9"/>
      <c r="C701" s="9"/>
    </row>
    <row r="702" ht="12.75" customHeight="1">
      <c r="A702" s="9"/>
      <c r="B702" s="9"/>
      <c r="C702" s="9"/>
    </row>
    <row r="703" ht="12.75" customHeight="1">
      <c r="A703" s="9"/>
      <c r="B703" s="9"/>
      <c r="C703" s="9"/>
    </row>
    <row r="704" ht="12.75" customHeight="1">
      <c r="A704" s="9"/>
      <c r="B704" s="9"/>
      <c r="C704" s="9"/>
    </row>
    <row r="705" ht="12.75" customHeight="1">
      <c r="A705" s="9"/>
      <c r="B705" s="9"/>
      <c r="C705" s="9"/>
    </row>
    <row r="706" ht="12.75" customHeight="1">
      <c r="A706" s="9"/>
      <c r="B706" s="9"/>
      <c r="C706" s="9"/>
    </row>
    <row r="707" ht="12.75" customHeight="1">
      <c r="A707" s="9"/>
      <c r="B707" s="9"/>
      <c r="C707" s="9"/>
    </row>
    <row r="708" ht="12.75" customHeight="1">
      <c r="A708" s="9"/>
      <c r="B708" s="9"/>
      <c r="C708" s="9"/>
    </row>
    <row r="709" ht="12.75" customHeight="1">
      <c r="A709" s="9"/>
      <c r="B709" s="9"/>
      <c r="C709" s="9"/>
    </row>
    <row r="710" ht="12.75" customHeight="1">
      <c r="A710" s="9"/>
      <c r="B710" s="9"/>
      <c r="C710" s="9"/>
    </row>
    <row r="711" ht="12.75" customHeight="1">
      <c r="A711" s="9"/>
      <c r="B711" s="9"/>
      <c r="C711" s="9"/>
    </row>
    <row r="712" ht="12.75" customHeight="1">
      <c r="A712" s="9"/>
      <c r="B712" s="9"/>
      <c r="C712" s="9"/>
    </row>
    <row r="713" ht="12.75" customHeight="1">
      <c r="A713" s="9"/>
      <c r="B713" s="9"/>
      <c r="C713" s="9"/>
    </row>
    <row r="714" ht="12.75" customHeight="1">
      <c r="A714" s="9"/>
      <c r="B714" s="9"/>
      <c r="C714" s="9"/>
    </row>
    <row r="715" ht="12.75" customHeight="1">
      <c r="A715" s="9"/>
      <c r="B715" s="9"/>
      <c r="C715" s="9"/>
    </row>
    <row r="716" ht="12.75" customHeight="1">
      <c r="A716" s="9"/>
      <c r="B716" s="9"/>
      <c r="C716" s="9"/>
    </row>
    <row r="717" ht="12.75" customHeight="1">
      <c r="A717" s="9"/>
      <c r="B717" s="9"/>
      <c r="C717" s="9"/>
    </row>
    <row r="718" ht="12.75" customHeight="1">
      <c r="A718" s="9"/>
      <c r="B718" s="9"/>
      <c r="C718" s="9"/>
    </row>
    <row r="719" ht="12.75" customHeight="1">
      <c r="A719" s="9"/>
      <c r="B719" s="9"/>
      <c r="C719" s="9"/>
    </row>
    <row r="720" ht="12.75" customHeight="1">
      <c r="A720" s="9"/>
      <c r="B720" s="9"/>
      <c r="C720" s="9"/>
    </row>
    <row r="721" ht="12.75" customHeight="1">
      <c r="A721" s="9"/>
      <c r="B721" s="9"/>
      <c r="C721" s="9"/>
    </row>
    <row r="722" ht="12.75" customHeight="1">
      <c r="A722" s="9"/>
      <c r="B722" s="9"/>
      <c r="C722" s="9"/>
    </row>
    <row r="723" ht="12.75" customHeight="1">
      <c r="A723" s="9"/>
      <c r="B723" s="9"/>
      <c r="C723" s="9"/>
    </row>
    <row r="724" ht="12.75" customHeight="1">
      <c r="A724" s="9"/>
      <c r="B724" s="9"/>
      <c r="C724" s="9"/>
    </row>
    <row r="725" ht="12.75" customHeight="1">
      <c r="A725" s="9"/>
      <c r="B725" s="9"/>
      <c r="C725" s="9"/>
    </row>
    <row r="726" ht="12.75" customHeight="1">
      <c r="A726" s="9"/>
      <c r="B726" s="9"/>
      <c r="C726" s="9"/>
    </row>
    <row r="727" ht="12.75" customHeight="1">
      <c r="A727" s="9"/>
      <c r="B727" s="9"/>
      <c r="C727" s="9"/>
    </row>
    <row r="728" ht="12.75" customHeight="1">
      <c r="A728" s="9"/>
      <c r="B728" s="9"/>
      <c r="C728" s="9"/>
    </row>
    <row r="729" ht="12.75" customHeight="1">
      <c r="A729" s="9"/>
      <c r="B729" s="9"/>
      <c r="C729" s="9"/>
    </row>
    <row r="730" ht="12.75" customHeight="1">
      <c r="A730" s="9"/>
      <c r="B730" s="9"/>
      <c r="C730" s="9"/>
    </row>
    <row r="731" ht="12.75" customHeight="1">
      <c r="A731" s="9"/>
      <c r="B731" s="9"/>
      <c r="C731" s="9"/>
    </row>
    <row r="732" ht="12.75" customHeight="1">
      <c r="A732" s="9"/>
      <c r="B732" s="9"/>
      <c r="C732" s="9"/>
    </row>
    <row r="733" ht="12.75" customHeight="1">
      <c r="A733" s="9"/>
      <c r="B733" s="9"/>
      <c r="C733" s="9"/>
    </row>
    <row r="734" ht="12.75" customHeight="1">
      <c r="A734" s="9"/>
      <c r="B734" s="9"/>
      <c r="C734" s="9"/>
    </row>
    <row r="735" ht="12.75" customHeight="1">
      <c r="A735" s="9"/>
      <c r="B735" s="9"/>
      <c r="C735" s="9"/>
    </row>
    <row r="736" ht="12.75" customHeight="1">
      <c r="A736" s="9"/>
      <c r="B736" s="9"/>
      <c r="C736" s="9"/>
    </row>
    <row r="737" ht="12.75" customHeight="1">
      <c r="A737" s="9"/>
      <c r="B737" s="9"/>
      <c r="C737" s="9"/>
    </row>
    <row r="738" ht="12.75" customHeight="1">
      <c r="A738" s="9"/>
      <c r="B738" s="9"/>
      <c r="C738" s="9"/>
    </row>
    <row r="739" ht="12.75" customHeight="1">
      <c r="A739" s="9"/>
      <c r="B739" s="9"/>
      <c r="C739" s="9"/>
    </row>
    <row r="740" ht="12.75" customHeight="1">
      <c r="A740" s="9"/>
      <c r="B740" s="9"/>
      <c r="C740" s="9"/>
    </row>
    <row r="741" ht="12.75" customHeight="1">
      <c r="A741" s="9"/>
      <c r="B741" s="9"/>
      <c r="C741" s="9"/>
    </row>
    <row r="742" ht="12.75" customHeight="1">
      <c r="A742" s="9"/>
      <c r="B742" s="9"/>
      <c r="C742" s="9"/>
    </row>
    <row r="743" ht="12.75" customHeight="1">
      <c r="A743" s="9"/>
      <c r="B743" s="9"/>
      <c r="C743" s="9"/>
    </row>
    <row r="744" ht="12.75" customHeight="1">
      <c r="A744" s="9"/>
      <c r="B744" s="9"/>
      <c r="C744" s="9"/>
    </row>
    <row r="745" ht="12.75" customHeight="1">
      <c r="A745" s="9"/>
      <c r="B745" s="9"/>
      <c r="C745" s="9"/>
    </row>
    <row r="746" ht="12.75" customHeight="1">
      <c r="A746" s="9"/>
      <c r="B746" s="9"/>
      <c r="C746" s="9"/>
    </row>
    <row r="747" ht="12.75" customHeight="1">
      <c r="A747" s="9"/>
      <c r="B747" s="9"/>
      <c r="C747" s="9"/>
    </row>
    <row r="748" ht="12.75" customHeight="1">
      <c r="A748" s="9"/>
      <c r="B748" s="9"/>
      <c r="C748" s="9"/>
    </row>
    <row r="749" ht="12.75" customHeight="1">
      <c r="A749" s="9"/>
      <c r="B749" s="9"/>
      <c r="C749" s="9"/>
    </row>
    <row r="750" ht="12.75" customHeight="1">
      <c r="A750" s="9"/>
      <c r="B750" s="9"/>
      <c r="C750" s="9"/>
    </row>
    <row r="751" ht="12.75" customHeight="1">
      <c r="A751" s="9"/>
      <c r="B751" s="9"/>
      <c r="C751" s="9"/>
    </row>
    <row r="752" ht="12.75" customHeight="1">
      <c r="A752" s="9"/>
      <c r="B752" s="9"/>
      <c r="C752" s="9"/>
    </row>
    <row r="753" ht="12.75" customHeight="1">
      <c r="A753" s="9"/>
      <c r="B753" s="9"/>
      <c r="C753" s="9"/>
    </row>
    <row r="754" ht="12.75" customHeight="1">
      <c r="A754" s="9"/>
      <c r="B754" s="9"/>
      <c r="C754" s="9"/>
    </row>
    <row r="755" ht="12.75" customHeight="1">
      <c r="A755" s="9"/>
      <c r="B755" s="9"/>
      <c r="C755" s="9"/>
    </row>
    <row r="756" ht="12.75" customHeight="1">
      <c r="A756" s="9"/>
      <c r="B756" s="9"/>
      <c r="C756" s="9"/>
    </row>
    <row r="757" ht="12.75" customHeight="1">
      <c r="A757" s="9"/>
      <c r="B757" s="9"/>
      <c r="C757" s="9"/>
    </row>
    <row r="758" ht="12.75" customHeight="1">
      <c r="A758" s="9"/>
      <c r="B758" s="9"/>
      <c r="C758" s="9"/>
    </row>
    <row r="759" ht="12.75" customHeight="1">
      <c r="A759" s="9"/>
      <c r="B759" s="9"/>
      <c r="C759" s="9"/>
    </row>
    <row r="760" ht="12.75" customHeight="1">
      <c r="A760" s="9"/>
      <c r="B760" s="9"/>
      <c r="C760" s="9"/>
    </row>
    <row r="761" ht="12.75" customHeight="1">
      <c r="A761" s="9"/>
      <c r="B761" s="9"/>
      <c r="C761" s="9"/>
    </row>
    <row r="762" ht="12.75" customHeight="1">
      <c r="A762" s="9"/>
      <c r="B762" s="9"/>
      <c r="C762" s="9"/>
    </row>
    <row r="763" ht="12.75" customHeight="1">
      <c r="A763" s="9"/>
      <c r="B763" s="9"/>
      <c r="C763" s="9"/>
    </row>
    <row r="764" ht="12.75" customHeight="1">
      <c r="A764" s="9"/>
      <c r="B764" s="9"/>
      <c r="C764" s="9"/>
    </row>
    <row r="765" ht="12.75" customHeight="1">
      <c r="A765" s="9"/>
      <c r="B765" s="9"/>
      <c r="C765" s="9"/>
    </row>
    <row r="766" ht="12.75" customHeight="1">
      <c r="A766" s="9"/>
      <c r="B766" s="9"/>
      <c r="C766" s="9"/>
    </row>
    <row r="767" ht="12.75" customHeight="1">
      <c r="A767" s="9"/>
      <c r="B767" s="9"/>
      <c r="C767" s="9"/>
    </row>
    <row r="768" ht="12.75" customHeight="1">
      <c r="A768" s="9"/>
      <c r="B768" s="9"/>
      <c r="C768" s="9"/>
    </row>
    <row r="769" ht="12.75" customHeight="1">
      <c r="A769" s="9"/>
      <c r="B769" s="9"/>
      <c r="C769" s="9"/>
    </row>
    <row r="770" ht="12.75" customHeight="1">
      <c r="A770" s="9"/>
      <c r="B770" s="9"/>
      <c r="C770" s="9"/>
    </row>
    <row r="771" ht="12.75" customHeight="1">
      <c r="A771" s="9"/>
      <c r="B771" s="9"/>
      <c r="C771" s="9"/>
    </row>
    <row r="772" ht="12.75" customHeight="1">
      <c r="A772" s="9"/>
      <c r="B772" s="9"/>
      <c r="C772" s="9"/>
    </row>
    <row r="773" ht="12.75" customHeight="1">
      <c r="A773" s="9"/>
      <c r="B773" s="9"/>
      <c r="C773" s="9"/>
    </row>
    <row r="774" ht="12.75" customHeight="1">
      <c r="A774" s="9"/>
      <c r="B774" s="9"/>
      <c r="C774" s="9"/>
    </row>
    <row r="775" ht="12.75" customHeight="1">
      <c r="A775" s="9"/>
      <c r="B775" s="9"/>
      <c r="C775" s="9"/>
    </row>
    <row r="776" ht="12.75" customHeight="1">
      <c r="A776" s="9"/>
      <c r="B776" s="9"/>
      <c r="C776" s="9"/>
    </row>
    <row r="777" ht="12.75" customHeight="1">
      <c r="A777" s="9"/>
      <c r="B777" s="9"/>
      <c r="C777" s="9"/>
    </row>
    <row r="778" ht="12.75" customHeight="1">
      <c r="A778" s="9"/>
      <c r="B778" s="9"/>
      <c r="C778" s="9"/>
    </row>
    <row r="779" ht="12.75" customHeight="1">
      <c r="A779" s="9"/>
      <c r="B779" s="9"/>
      <c r="C779" s="9"/>
    </row>
    <row r="780" ht="12.75" customHeight="1">
      <c r="A780" s="9"/>
      <c r="B780" s="9"/>
      <c r="C780" s="9"/>
    </row>
    <row r="781" ht="12.75" customHeight="1">
      <c r="A781" s="9"/>
      <c r="B781" s="9"/>
      <c r="C781" s="9"/>
    </row>
    <row r="782" ht="12.75" customHeight="1">
      <c r="A782" s="9"/>
      <c r="B782" s="9"/>
      <c r="C782" s="9"/>
    </row>
    <row r="783" ht="12.75" customHeight="1">
      <c r="A783" s="9"/>
      <c r="B783" s="9"/>
      <c r="C783" s="9"/>
    </row>
    <row r="784" ht="12.75" customHeight="1">
      <c r="A784" s="9"/>
      <c r="B784" s="9"/>
      <c r="C784" s="9"/>
    </row>
    <row r="785" ht="12.75" customHeight="1">
      <c r="A785" s="9"/>
      <c r="B785" s="9"/>
      <c r="C785" s="9"/>
    </row>
    <row r="786" ht="12.75" customHeight="1">
      <c r="A786" s="9"/>
      <c r="B786" s="9"/>
      <c r="C786" s="9"/>
    </row>
    <row r="787" ht="12.75" customHeight="1">
      <c r="A787" s="9"/>
      <c r="B787" s="9"/>
      <c r="C787" s="9"/>
    </row>
    <row r="788" ht="12.75" customHeight="1">
      <c r="A788" s="9"/>
      <c r="B788" s="9"/>
      <c r="C788" s="9"/>
    </row>
    <row r="789" ht="12.75" customHeight="1">
      <c r="A789" s="9"/>
      <c r="B789" s="9"/>
      <c r="C789" s="9"/>
    </row>
    <row r="790" ht="12.75" customHeight="1">
      <c r="A790" s="9"/>
      <c r="B790" s="9"/>
      <c r="C790" s="9"/>
    </row>
    <row r="791" ht="12.75" customHeight="1">
      <c r="A791" s="9"/>
      <c r="B791" s="9"/>
      <c r="C791" s="9"/>
    </row>
    <row r="792" ht="12.75" customHeight="1">
      <c r="A792" s="9"/>
      <c r="B792" s="9"/>
      <c r="C792" s="9"/>
    </row>
    <row r="793" ht="12.75" customHeight="1">
      <c r="A793" s="9"/>
      <c r="B793" s="9"/>
      <c r="C793" s="9"/>
    </row>
    <row r="794" ht="12.75" customHeight="1">
      <c r="A794" s="9"/>
      <c r="B794" s="9"/>
      <c r="C794" s="9"/>
    </row>
    <row r="795" ht="12.75" customHeight="1">
      <c r="A795" s="9"/>
      <c r="B795" s="9"/>
      <c r="C795" s="9"/>
    </row>
    <row r="796" ht="12.75" customHeight="1">
      <c r="A796" s="9"/>
      <c r="B796" s="9"/>
      <c r="C796" s="9"/>
    </row>
    <row r="797" ht="12.75" customHeight="1">
      <c r="A797" s="9"/>
      <c r="B797" s="9"/>
      <c r="C797" s="9"/>
    </row>
    <row r="798" ht="12.75" customHeight="1">
      <c r="A798" s="9"/>
      <c r="B798" s="9"/>
      <c r="C798" s="9"/>
    </row>
    <row r="799" ht="12.75" customHeight="1">
      <c r="A799" s="9"/>
      <c r="B799" s="9"/>
      <c r="C799" s="9"/>
    </row>
    <row r="800" ht="12.75" customHeight="1">
      <c r="A800" s="9"/>
      <c r="B800" s="9"/>
      <c r="C800" s="9"/>
    </row>
    <row r="801" ht="12.75" customHeight="1">
      <c r="A801" s="9"/>
      <c r="B801" s="9"/>
      <c r="C801" s="9"/>
    </row>
    <row r="802" ht="12.75" customHeight="1">
      <c r="A802" s="9"/>
      <c r="B802" s="9"/>
      <c r="C802" s="9"/>
    </row>
    <row r="803" ht="12.75" customHeight="1">
      <c r="A803" s="9"/>
      <c r="B803" s="9"/>
      <c r="C803" s="9"/>
    </row>
    <row r="804" ht="12.75" customHeight="1">
      <c r="A804" s="9"/>
      <c r="B804" s="9"/>
      <c r="C804" s="9"/>
    </row>
    <row r="805" ht="12.75" customHeight="1">
      <c r="A805" s="9"/>
      <c r="B805" s="9"/>
      <c r="C805" s="9"/>
    </row>
    <row r="806" ht="12.75" customHeight="1">
      <c r="A806" s="9"/>
      <c r="B806" s="9"/>
      <c r="C806" s="9"/>
    </row>
    <row r="807" ht="12.75" customHeight="1">
      <c r="A807" s="9"/>
      <c r="B807" s="9"/>
      <c r="C807" s="9"/>
    </row>
    <row r="808" ht="12.75" customHeight="1">
      <c r="A808" s="9"/>
      <c r="B808" s="9"/>
      <c r="C808" s="9"/>
    </row>
    <row r="809" ht="12.75" customHeight="1">
      <c r="A809" s="9"/>
      <c r="B809" s="9"/>
      <c r="C809" s="9"/>
    </row>
    <row r="810" ht="12.75" customHeight="1">
      <c r="A810" s="9"/>
      <c r="B810" s="9"/>
      <c r="C810" s="9"/>
    </row>
    <row r="811" ht="12.75" customHeight="1">
      <c r="A811" s="9"/>
      <c r="B811" s="9"/>
      <c r="C811" s="9"/>
    </row>
    <row r="812" ht="12.75" customHeight="1">
      <c r="A812" s="9"/>
      <c r="B812" s="9"/>
      <c r="C812" s="9"/>
    </row>
    <row r="813" ht="12.75" customHeight="1">
      <c r="A813" s="9"/>
      <c r="B813" s="9"/>
      <c r="C813" s="9"/>
    </row>
    <row r="814" ht="12.75" customHeight="1">
      <c r="A814" s="9"/>
      <c r="B814" s="9"/>
      <c r="C814" s="9"/>
    </row>
    <row r="815" ht="12.75" customHeight="1">
      <c r="A815" s="9"/>
      <c r="B815" s="9"/>
      <c r="C815" s="9"/>
    </row>
    <row r="816" ht="12.75" customHeight="1">
      <c r="A816" s="9"/>
      <c r="B816" s="9"/>
      <c r="C816" s="9"/>
    </row>
    <row r="817" ht="12.75" customHeight="1">
      <c r="A817" s="9"/>
      <c r="B817" s="9"/>
      <c r="C817" s="9"/>
    </row>
    <row r="818" ht="12.75" customHeight="1">
      <c r="A818" s="9"/>
      <c r="B818" s="9"/>
      <c r="C818" s="9"/>
    </row>
    <row r="819" ht="12.75" customHeight="1">
      <c r="A819" s="9"/>
      <c r="B819" s="9"/>
      <c r="C819" s="9"/>
    </row>
    <row r="820" ht="12.75" customHeight="1">
      <c r="A820" s="9"/>
      <c r="B820" s="9"/>
      <c r="C820" s="9"/>
    </row>
    <row r="821" ht="12.75" customHeight="1">
      <c r="A821" s="9"/>
      <c r="B821" s="9"/>
      <c r="C821" s="9"/>
    </row>
    <row r="822" ht="12.75" customHeight="1">
      <c r="A822" s="9"/>
      <c r="B822" s="9"/>
      <c r="C822" s="9"/>
    </row>
    <row r="823" ht="12.75" customHeight="1">
      <c r="A823" s="9"/>
      <c r="B823" s="9"/>
      <c r="C823" s="9"/>
    </row>
    <row r="824" ht="12.75" customHeight="1">
      <c r="A824" s="9"/>
      <c r="B824" s="9"/>
      <c r="C824" s="9"/>
    </row>
    <row r="825" ht="12.75" customHeight="1">
      <c r="A825" s="9"/>
      <c r="B825" s="9"/>
      <c r="C825" s="9"/>
    </row>
    <row r="826" ht="12.75" customHeight="1">
      <c r="A826" s="9"/>
      <c r="B826" s="9"/>
      <c r="C826" s="9"/>
    </row>
    <row r="827" ht="12.75" customHeight="1">
      <c r="A827" s="9"/>
      <c r="B827" s="9"/>
      <c r="C827" s="9"/>
    </row>
    <row r="828" ht="12.75" customHeight="1">
      <c r="A828" s="9"/>
      <c r="B828" s="9"/>
      <c r="C828" s="9"/>
    </row>
    <row r="829" ht="12.75" customHeight="1">
      <c r="A829" s="9"/>
      <c r="B829" s="9"/>
      <c r="C829" s="9"/>
    </row>
    <row r="830" ht="12.75" customHeight="1">
      <c r="A830" s="9"/>
      <c r="B830" s="9"/>
      <c r="C830" s="9"/>
    </row>
    <row r="831" ht="12.75" customHeight="1">
      <c r="A831" s="9"/>
      <c r="B831" s="9"/>
      <c r="C831" s="9"/>
    </row>
    <row r="832" ht="12.75" customHeight="1">
      <c r="A832" s="9"/>
      <c r="B832" s="9"/>
      <c r="C832" s="9"/>
    </row>
    <row r="833" ht="12.75" customHeight="1">
      <c r="A833" s="9"/>
      <c r="B833" s="9"/>
      <c r="C833" s="9"/>
    </row>
    <row r="834" ht="12.75" customHeight="1">
      <c r="A834" s="9"/>
      <c r="B834" s="9"/>
      <c r="C834" s="9"/>
    </row>
    <row r="835" ht="12.75" customHeight="1">
      <c r="A835" s="9"/>
      <c r="B835" s="9"/>
      <c r="C835" s="9"/>
    </row>
    <row r="836" ht="12.75" customHeight="1">
      <c r="A836" s="9"/>
      <c r="B836" s="9"/>
      <c r="C836" s="9"/>
    </row>
    <row r="837" ht="12.75" customHeight="1">
      <c r="A837" s="9"/>
      <c r="B837" s="9"/>
      <c r="C837" s="9"/>
    </row>
    <row r="838" ht="12.75" customHeight="1">
      <c r="A838" s="9"/>
      <c r="B838" s="9"/>
      <c r="C838" s="9"/>
    </row>
    <row r="839" ht="12.75" customHeight="1">
      <c r="A839" s="9"/>
      <c r="B839" s="9"/>
      <c r="C839" s="9"/>
    </row>
    <row r="840" ht="12.75" customHeight="1">
      <c r="A840" s="9"/>
      <c r="B840" s="9"/>
      <c r="C840" s="9"/>
    </row>
    <row r="841" ht="12.75" customHeight="1">
      <c r="A841" s="9"/>
      <c r="B841" s="9"/>
      <c r="C841" s="9"/>
    </row>
    <row r="842" ht="12.75" customHeight="1">
      <c r="A842" s="9"/>
      <c r="B842" s="9"/>
      <c r="C842" s="9"/>
    </row>
    <row r="843" ht="12.75" customHeight="1">
      <c r="A843" s="9"/>
      <c r="B843" s="9"/>
      <c r="C843" s="9"/>
    </row>
    <row r="844" ht="12.75" customHeight="1">
      <c r="A844" s="9"/>
      <c r="B844" s="9"/>
      <c r="C844" s="9"/>
    </row>
    <row r="845" ht="12.75" customHeight="1">
      <c r="A845" s="9"/>
      <c r="B845" s="9"/>
      <c r="C845" s="9"/>
    </row>
    <row r="846" ht="12.75" customHeight="1">
      <c r="A846" s="9"/>
      <c r="B846" s="9"/>
      <c r="C846" s="9"/>
    </row>
    <row r="847" ht="12.75" customHeight="1">
      <c r="A847" s="9"/>
      <c r="B847" s="9"/>
      <c r="C847" s="9"/>
    </row>
    <row r="848" ht="12.75" customHeight="1">
      <c r="A848" s="9"/>
      <c r="B848" s="9"/>
      <c r="C848" s="9"/>
    </row>
    <row r="849" ht="12.75" customHeight="1">
      <c r="A849" s="9"/>
      <c r="B849" s="9"/>
      <c r="C849" s="9"/>
    </row>
    <row r="850" ht="12.75" customHeight="1">
      <c r="A850" s="9"/>
      <c r="B850" s="9"/>
      <c r="C850" s="9"/>
    </row>
    <row r="851" ht="12.75" customHeight="1">
      <c r="A851" s="9"/>
      <c r="B851" s="9"/>
      <c r="C851" s="9"/>
    </row>
    <row r="852" ht="12.75" customHeight="1">
      <c r="A852" s="9"/>
      <c r="B852" s="9"/>
      <c r="C852" s="9"/>
    </row>
    <row r="853" ht="12.75" customHeight="1">
      <c r="A853" s="9"/>
      <c r="B853" s="9"/>
      <c r="C853" s="9"/>
    </row>
    <row r="854" ht="12.75" customHeight="1">
      <c r="A854" s="9"/>
      <c r="B854" s="9"/>
      <c r="C854" s="9"/>
    </row>
    <row r="855" ht="12.75" customHeight="1">
      <c r="A855" s="9"/>
      <c r="B855" s="9"/>
      <c r="C855" s="9"/>
    </row>
    <row r="856" ht="12.75" customHeight="1">
      <c r="A856" s="9"/>
      <c r="B856" s="9"/>
      <c r="C856" s="9"/>
    </row>
    <row r="857" ht="12.75" customHeight="1">
      <c r="A857" s="9"/>
      <c r="B857" s="9"/>
      <c r="C857" s="9"/>
    </row>
    <row r="858" ht="12.75" customHeight="1">
      <c r="A858" s="9"/>
      <c r="B858" s="9"/>
      <c r="C858" s="9"/>
    </row>
    <row r="859" ht="12.75" customHeight="1">
      <c r="A859" s="9"/>
      <c r="B859" s="9"/>
      <c r="C859" s="9"/>
    </row>
    <row r="860" ht="12.75" customHeight="1">
      <c r="A860" s="9"/>
      <c r="B860" s="9"/>
      <c r="C860" s="9"/>
    </row>
    <row r="861" ht="12.75" customHeight="1">
      <c r="A861" s="9"/>
      <c r="B861" s="9"/>
      <c r="C861" s="9"/>
    </row>
    <row r="862" ht="12.75" customHeight="1">
      <c r="A862" s="9"/>
      <c r="B862" s="9"/>
      <c r="C862" s="9"/>
    </row>
    <row r="863" ht="12.75" customHeight="1">
      <c r="A863" s="9"/>
      <c r="B863" s="9"/>
      <c r="C863" s="9"/>
    </row>
    <row r="864" ht="12.75" customHeight="1">
      <c r="A864" s="9"/>
      <c r="B864" s="9"/>
      <c r="C864" s="9"/>
    </row>
    <row r="865" ht="12.75" customHeight="1">
      <c r="A865" s="9"/>
      <c r="B865" s="9"/>
      <c r="C865" s="9"/>
    </row>
    <row r="866" ht="12.75" customHeight="1">
      <c r="A866" s="9"/>
      <c r="B866" s="9"/>
      <c r="C866" s="9"/>
    </row>
    <row r="867" ht="12.75" customHeight="1">
      <c r="A867" s="9"/>
      <c r="B867" s="9"/>
      <c r="C867" s="9"/>
    </row>
    <row r="868" ht="12.75" customHeight="1">
      <c r="A868" s="9"/>
      <c r="B868" s="9"/>
      <c r="C868" s="9"/>
    </row>
    <row r="869" ht="12.75" customHeight="1">
      <c r="A869" s="9"/>
      <c r="B869" s="9"/>
      <c r="C869" s="9"/>
    </row>
    <row r="870" ht="12.75" customHeight="1">
      <c r="A870" s="9"/>
      <c r="B870" s="9"/>
      <c r="C870" s="9"/>
    </row>
    <row r="871" ht="12.75" customHeight="1">
      <c r="A871" s="9"/>
      <c r="B871" s="9"/>
      <c r="C871" s="9"/>
    </row>
    <row r="872" ht="12.75" customHeight="1">
      <c r="A872" s="9"/>
      <c r="B872" s="9"/>
      <c r="C872" s="9"/>
    </row>
    <row r="873" ht="12.75" customHeight="1">
      <c r="A873" s="9"/>
      <c r="B873" s="9"/>
      <c r="C873" s="9"/>
    </row>
    <row r="874" ht="12.75" customHeight="1">
      <c r="A874" s="9"/>
      <c r="B874" s="9"/>
      <c r="C874" s="9"/>
    </row>
    <row r="875" ht="12.75" customHeight="1">
      <c r="A875" s="9"/>
      <c r="B875" s="9"/>
      <c r="C875" s="9"/>
    </row>
    <row r="876" ht="12.75" customHeight="1">
      <c r="A876" s="9"/>
      <c r="B876" s="9"/>
      <c r="C876" s="9"/>
    </row>
    <row r="877" ht="12.75" customHeight="1">
      <c r="A877" s="9"/>
      <c r="B877" s="9"/>
      <c r="C877" s="9"/>
    </row>
    <row r="878" ht="12.75" customHeight="1">
      <c r="A878" s="9"/>
      <c r="B878" s="9"/>
      <c r="C878" s="9"/>
    </row>
    <row r="879" ht="12.75" customHeight="1">
      <c r="A879" s="9"/>
      <c r="B879" s="9"/>
      <c r="C879" s="9"/>
    </row>
    <row r="880" ht="12.75" customHeight="1">
      <c r="A880" s="9"/>
      <c r="B880" s="9"/>
      <c r="C880" s="9"/>
    </row>
    <row r="881" ht="12.75" customHeight="1">
      <c r="A881" s="9"/>
      <c r="B881" s="9"/>
      <c r="C881" s="9"/>
    </row>
    <row r="882" ht="12.75" customHeight="1">
      <c r="A882" s="9"/>
      <c r="B882" s="9"/>
      <c r="C882" s="9"/>
    </row>
    <row r="883" ht="12.75" customHeight="1">
      <c r="A883" s="9"/>
      <c r="B883" s="9"/>
      <c r="C883" s="9"/>
    </row>
    <row r="884" ht="12.75" customHeight="1">
      <c r="A884" s="9"/>
      <c r="B884" s="9"/>
      <c r="C884" s="9"/>
    </row>
    <row r="885" ht="12.75" customHeight="1">
      <c r="A885" s="9"/>
      <c r="B885" s="9"/>
      <c r="C885" s="9"/>
    </row>
    <row r="886" ht="12.75" customHeight="1">
      <c r="A886" s="9"/>
      <c r="B886" s="9"/>
      <c r="C886" s="9"/>
    </row>
    <row r="887" ht="12.75" customHeight="1">
      <c r="A887" s="9"/>
      <c r="B887" s="9"/>
      <c r="C887" s="9"/>
    </row>
    <row r="888" ht="12.75" customHeight="1">
      <c r="A888" s="9"/>
      <c r="B888" s="9"/>
      <c r="C888" s="9"/>
    </row>
    <row r="889" ht="12.75" customHeight="1">
      <c r="A889" s="9"/>
      <c r="B889" s="9"/>
      <c r="C889" s="9"/>
    </row>
    <row r="890" ht="12.75" customHeight="1">
      <c r="A890" s="9"/>
      <c r="B890" s="9"/>
      <c r="C890" s="9"/>
    </row>
    <row r="891" ht="12.75" customHeight="1">
      <c r="A891" s="9"/>
      <c r="B891" s="9"/>
      <c r="C891" s="9"/>
    </row>
    <row r="892" ht="12.75" customHeight="1">
      <c r="A892" s="9"/>
      <c r="B892" s="9"/>
      <c r="C892" s="9"/>
    </row>
    <row r="893" ht="12.75" customHeight="1">
      <c r="A893" s="9"/>
      <c r="B893" s="9"/>
      <c r="C893" s="9"/>
    </row>
    <row r="894" ht="12.75" customHeight="1">
      <c r="A894" s="9"/>
      <c r="B894" s="9"/>
      <c r="C894" s="9"/>
    </row>
    <row r="895" ht="12.75" customHeight="1">
      <c r="A895" s="9"/>
      <c r="B895" s="9"/>
      <c r="C895" s="9"/>
    </row>
    <row r="896" ht="12.75" customHeight="1">
      <c r="A896" s="9"/>
      <c r="B896" s="9"/>
      <c r="C896" s="9"/>
    </row>
    <row r="897" ht="12.75" customHeight="1">
      <c r="A897" s="9"/>
      <c r="B897" s="9"/>
      <c r="C897" s="9"/>
    </row>
    <row r="898" ht="12.75" customHeight="1">
      <c r="A898" s="9"/>
      <c r="B898" s="9"/>
      <c r="C898" s="9"/>
    </row>
    <row r="899" ht="12.75" customHeight="1">
      <c r="A899" s="9"/>
      <c r="B899" s="9"/>
      <c r="C899" s="9"/>
    </row>
    <row r="900" ht="12.75" customHeight="1">
      <c r="A900" s="9"/>
      <c r="B900" s="9"/>
      <c r="C900" s="9"/>
    </row>
    <row r="901" ht="12.75" customHeight="1">
      <c r="A901" s="9"/>
      <c r="B901" s="9"/>
      <c r="C901" s="9"/>
    </row>
    <row r="902" ht="12.75" customHeight="1">
      <c r="A902" s="9"/>
      <c r="B902" s="9"/>
      <c r="C902" s="9"/>
    </row>
    <row r="903" ht="12.75" customHeight="1">
      <c r="A903" s="9"/>
      <c r="B903" s="9"/>
      <c r="C903" s="9"/>
    </row>
    <row r="904" ht="12.75" customHeight="1">
      <c r="A904" s="9"/>
      <c r="B904" s="9"/>
      <c r="C904" s="9"/>
    </row>
    <row r="905" ht="12.75" customHeight="1">
      <c r="A905" s="9"/>
      <c r="B905" s="9"/>
      <c r="C905" s="9"/>
    </row>
    <row r="906" ht="12.75" customHeight="1">
      <c r="A906" s="9"/>
      <c r="B906" s="9"/>
      <c r="C906" s="9"/>
    </row>
    <row r="907" ht="12.75" customHeight="1">
      <c r="A907" s="9"/>
      <c r="B907" s="9"/>
      <c r="C907" s="9"/>
    </row>
    <row r="908" ht="12.75" customHeight="1">
      <c r="A908" s="9"/>
      <c r="B908" s="9"/>
      <c r="C908" s="9"/>
    </row>
    <row r="909" ht="12.75" customHeight="1">
      <c r="A909" s="9"/>
      <c r="B909" s="9"/>
      <c r="C909" s="9"/>
    </row>
    <row r="910" ht="12.75" customHeight="1">
      <c r="A910" s="9"/>
      <c r="B910" s="9"/>
      <c r="C910" s="9"/>
    </row>
    <row r="911" ht="12.75" customHeight="1">
      <c r="A911" s="9"/>
      <c r="B911" s="9"/>
      <c r="C911" s="9"/>
    </row>
    <row r="912" ht="12.75" customHeight="1">
      <c r="A912" s="9"/>
      <c r="B912" s="9"/>
      <c r="C912" s="9"/>
    </row>
    <row r="913" ht="12.75" customHeight="1">
      <c r="A913" s="9"/>
      <c r="B913" s="9"/>
      <c r="C913" s="9"/>
    </row>
    <row r="914" ht="12.75" customHeight="1">
      <c r="A914" s="9"/>
      <c r="B914" s="9"/>
      <c r="C914" s="9"/>
    </row>
    <row r="915" ht="12.75" customHeight="1">
      <c r="A915" s="9"/>
      <c r="B915" s="9"/>
      <c r="C915" s="9"/>
    </row>
    <row r="916" ht="12.75" customHeight="1">
      <c r="A916" s="9"/>
      <c r="B916" s="9"/>
      <c r="C916" s="9"/>
    </row>
    <row r="917" ht="12.75" customHeight="1">
      <c r="A917" s="9"/>
      <c r="B917" s="9"/>
      <c r="C917" s="9"/>
    </row>
    <row r="918" ht="12.75" customHeight="1">
      <c r="A918" s="9"/>
      <c r="B918" s="9"/>
      <c r="C918" s="9"/>
    </row>
    <row r="919" ht="12.75" customHeight="1">
      <c r="A919" s="9"/>
      <c r="B919" s="9"/>
      <c r="C919" s="9"/>
    </row>
    <row r="920" ht="12.75" customHeight="1">
      <c r="A920" s="9"/>
      <c r="B920" s="9"/>
      <c r="C920" s="9"/>
    </row>
    <row r="921" ht="12.75" customHeight="1">
      <c r="A921" s="9"/>
      <c r="B921" s="9"/>
      <c r="C921" s="9"/>
    </row>
    <row r="922" ht="12.75" customHeight="1">
      <c r="A922" s="9"/>
      <c r="B922" s="9"/>
      <c r="C922" s="9"/>
    </row>
    <row r="923" ht="12.75" customHeight="1">
      <c r="A923" s="9"/>
      <c r="B923" s="9"/>
      <c r="C923" s="9"/>
    </row>
    <row r="924" ht="12.75" customHeight="1">
      <c r="A924" s="9"/>
      <c r="B924" s="9"/>
      <c r="C924" s="9"/>
    </row>
    <row r="925" ht="12.75" customHeight="1">
      <c r="A925" s="9"/>
      <c r="B925" s="9"/>
      <c r="C925" s="9"/>
    </row>
    <row r="926" ht="12.75" customHeight="1">
      <c r="A926" s="9"/>
      <c r="B926" s="9"/>
      <c r="C926" s="9"/>
    </row>
    <row r="927" ht="12.75" customHeight="1">
      <c r="A927" s="9"/>
      <c r="B927" s="9"/>
      <c r="C927" s="9"/>
    </row>
    <row r="928" ht="12.75" customHeight="1">
      <c r="A928" s="9"/>
      <c r="B928" s="9"/>
      <c r="C928" s="9"/>
    </row>
    <row r="929" ht="12.75" customHeight="1">
      <c r="A929" s="9"/>
      <c r="B929" s="9"/>
      <c r="C929" s="9"/>
    </row>
    <row r="930" ht="12.75" customHeight="1">
      <c r="A930" s="9"/>
      <c r="B930" s="9"/>
      <c r="C930" s="9"/>
    </row>
    <row r="931" ht="12.75" customHeight="1">
      <c r="A931" s="9"/>
      <c r="B931" s="9"/>
      <c r="C931" s="9"/>
    </row>
    <row r="932" ht="12.75" customHeight="1">
      <c r="A932" s="9"/>
      <c r="B932" s="9"/>
      <c r="C932" s="9"/>
    </row>
    <row r="933" ht="12.75" customHeight="1">
      <c r="A933" s="9"/>
      <c r="B933" s="9"/>
      <c r="C933" s="9"/>
    </row>
    <row r="934" ht="12.75" customHeight="1">
      <c r="A934" s="9"/>
      <c r="B934" s="9"/>
      <c r="C934" s="9"/>
    </row>
    <row r="935" ht="12.75" customHeight="1">
      <c r="A935" s="9"/>
      <c r="B935" s="9"/>
      <c r="C935" s="9"/>
    </row>
    <row r="936" ht="12.75" customHeight="1">
      <c r="A936" s="9"/>
      <c r="B936" s="9"/>
      <c r="C936" s="9"/>
    </row>
    <row r="937" ht="12.75" customHeight="1">
      <c r="A937" s="9"/>
      <c r="B937" s="9"/>
      <c r="C937" s="9"/>
    </row>
    <row r="938" ht="12.75" customHeight="1">
      <c r="A938" s="9"/>
      <c r="B938" s="9"/>
      <c r="C938" s="9"/>
    </row>
    <row r="939" ht="12.75" customHeight="1">
      <c r="A939" s="9"/>
      <c r="B939" s="9"/>
      <c r="C939" s="9"/>
    </row>
    <row r="940" ht="12.75" customHeight="1">
      <c r="A940" s="9"/>
      <c r="B940" s="9"/>
      <c r="C940" s="9"/>
    </row>
    <row r="941" ht="12.75" customHeight="1">
      <c r="A941" s="9"/>
      <c r="B941" s="9"/>
      <c r="C941" s="9"/>
    </row>
    <row r="942" ht="12.75" customHeight="1">
      <c r="A942" s="9"/>
      <c r="B942" s="9"/>
      <c r="C942" s="9"/>
    </row>
    <row r="943" ht="12.75" customHeight="1">
      <c r="A943" s="9"/>
      <c r="B943" s="9"/>
      <c r="C943" s="9"/>
    </row>
    <row r="944" ht="12.75" customHeight="1">
      <c r="A944" s="9"/>
      <c r="B944" s="9"/>
      <c r="C944" s="9"/>
    </row>
    <row r="945" ht="12.75" customHeight="1">
      <c r="A945" s="9"/>
      <c r="B945" s="9"/>
      <c r="C945" s="9"/>
    </row>
    <row r="946" ht="12.75" customHeight="1">
      <c r="A946" s="9"/>
      <c r="B946" s="9"/>
      <c r="C946" s="9"/>
    </row>
    <row r="947" ht="12.75" customHeight="1">
      <c r="A947" s="9"/>
      <c r="B947" s="9"/>
      <c r="C947" s="9"/>
    </row>
    <row r="948" ht="12.75" customHeight="1">
      <c r="A948" s="9"/>
      <c r="B948" s="9"/>
      <c r="C948" s="9"/>
    </row>
    <row r="949" ht="12.75" customHeight="1">
      <c r="A949" s="9"/>
      <c r="B949" s="9"/>
      <c r="C949" s="9"/>
    </row>
    <row r="950" ht="12.75" customHeight="1">
      <c r="A950" s="9"/>
      <c r="B950" s="9"/>
      <c r="C950" s="9"/>
    </row>
    <row r="951" ht="12.75" customHeight="1">
      <c r="A951" s="9"/>
      <c r="B951" s="9"/>
      <c r="C951" s="9"/>
    </row>
    <row r="952" ht="12.75" customHeight="1">
      <c r="A952" s="9"/>
      <c r="B952" s="9"/>
      <c r="C952" s="9"/>
    </row>
    <row r="953" ht="12.75" customHeight="1">
      <c r="A953" s="9"/>
      <c r="B953" s="9"/>
      <c r="C953" s="9"/>
    </row>
    <row r="954" ht="12.75" customHeight="1">
      <c r="A954" s="9"/>
      <c r="B954" s="9"/>
      <c r="C954" s="9"/>
    </row>
    <row r="955" ht="12.75" customHeight="1">
      <c r="A955" s="9"/>
      <c r="B955" s="9"/>
      <c r="C955" s="9"/>
    </row>
    <row r="956" ht="12.75" customHeight="1">
      <c r="A956" s="9"/>
      <c r="B956" s="9"/>
      <c r="C956" s="9"/>
    </row>
    <row r="957" ht="12.75" customHeight="1">
      <c r="A957" s="9"/>
      <c r="B957" s="9"/>
      <c r="C957" s="9"/>
    </row>
    <row r="958" ht="12.75" customHeight="1">
      <c r="A958" s="9"/>
      <c r="B958" s="9"/>
      <c r="C958" s="9"/>
    </row>
    <row r="959" ht="12.75" customHeight="1">
      <c r="A959" s="9"/>
      <c r="B959" s="9"/>
      <c r="C959" s="9"/>
    </row>
    <row r="960" ht="12.75" customHeight="1">
      <c r="A960" s="9"/>
      <c r="B960" s="9"/>
      <c r="C960" s="9"/>
    </row>
    <row r="961" ht="12.75" customHeight="1">
      <c r="A961" s="9"/>
      <c r="B961" s="9"/>
      <c r="C961" s="9"/>
    </row>
    <row r="962" ht="12.75" customHeight="1">
      <c r="A962" s="9"/>
      <c r="B962" s="9"/>
      <c r="C962" s="9"/>
    </row>
    <row r="963" ht="12.75" customHeight="1">
      <c r="A963" s="9"/>
      <c r="B963" s="9"/>
      <c r="C963" s="9"/>
    </row>
    <row r="964" ht="12.75" customHeight="1">
      <c r="A964" s="9"/>
      <c r="B964" s="9"/>
      <c r="C964" s="9"/>
    </row>
    <row r="965" ht="12.75" customHeight="1">
      <c r="A965" s="9"/>
      <c r="B965" s="9"/>
      <c r="C965" s="9"/>
    </row>
    <row r="966" ht="12.75" customHeight="1">
      <c r="A966" s="9"/>
      <c r="B966" s="9"/>
      <c r="C966" s="9"/>
    </row>
    <row r="967" ht="12.75" customHeight="1">
      <c r="A967" s="9"/>
      <c r="B967" s="9"/>
      <c r="C967" s="9"/>
    </row>
    <row r="968" ht="12.75" customHeight="1">
      <c r="A968" s="9"/>
      <c r="B968" s="9"/>
      <c r="C968" s="9"/>
    </row>
    <row r="969" ht="12.75" customHeight="1">
      <c r="A969" s="9"/>
      <c r="B969" s="9"/>
      <c r="C969" s="9"/>
    </row>
    <row r="970" ht="12.75" customHeight="1">
      <c r="A970" s="9"/>
      <c r="B970" s="9"/>
      <c r="C970" s="9"/>
    </row>
    <row r="971" ht="12.75" customHeight="1">
      <c r="A971" s="9"/>
      <c r="B971" s="9"/>
      <c r="C971" s="9"/>
    </row>
    <row r="972" ht="12.75" customHeight="1">
      <c r="A972" s="9"/>
      <c r="B972" s="9"/>
      <c r="C972" s="9"/>
    </row>
    <row r="973" ht="12.75" customHeight="1">
      <c r="A973" s="9"/>
      <c r="B973" s="9"/>
      <c r="C973" s="9"/>
    </row>
    <row r="974" ht="12.75" customHeight="1">
      <c r="A974" s="9"/>
      <c r="B974" s="9"/>
      <c r="C974" s="9"/>
    </row>
    <row r="975" ht="12.75" customHeight="1">
      <c r="A975" s="9"/>
      <c r="B975" s="9"/>
      <c r="C975" s="9"/>
    </row>
    <row r="976" ht="12.75" customHeight="1">
      <c r="A976" s="9"/>
      <c r="B976" s="9"/>
      <c r="C976" s="9"/>
    </row>
    <row r="977" ht="12.75" customHeight="1">
      <c r="A977" s="9"/>
      <c r="B977" s="9"/>
      <c r="C977" s="9"/>
    </row>
    <row r="978" ht="12.75" customHeight="1">
      <c r="A978" s="9"/>
      <c r="B978" s="9"/>
      <c r="C978" s="9"/>
    </row>
    <row r="979" ht="12.75" customHeight="1">
      <c r="A979" s="9"/>
      <c r="B979" s="9"/>
      <c r="C979" s="9"/>
    </row>
    <row r="980" ht="12.75" customHeight="1">
      <c r="A980" s="9"/>
      <c r="B980" s="9"/>
      <c r="C980" s="9"/>
    </row>
    <row r="981" ht="12.75" customHeight="1">
      <c r="A981" s="9"/>
      <c r="B981" s="9"/>
      <c r="C981" s="9"/>
    </row>
    <row r="982" ht="12.75" customHeight="1">
      <c r="A982" s="9"/>
      <c r="B982" s="9"/>
      <c r="C982" s="9"/>
    </row>
    <row r="983" ht="12.75" customHeight="1">
      <c r="A983" s="9"/>
      <c r="B983" s="9"/>
      <c r="C983" s="9"/>
    </row>
    <row r="984" ht="12.75" customHeight="1">
      <c r="A984" s="9"/>
      <c r="B984" s="9"/>
      <c r="C984" s="9"/>
    </row>
    <row r="985" ht="12.75" customHeight="1">
      <c r="A985" s="9"/>
      <c r="B985" s="9"/>
      <c r="C985" s="9"/>
    </row>
    <row r="986" ht="12.75" customHeight="1">
      <c r="A986" s="9"/>
      <c r="B986" s="9"/>
      <c r="C986" s="9"/>
    </row>
    <row r="987" ht="12.75" customHeight="1">
      <c r="A987" s="9"/>
      <c r="B987" s="9"/>
      <c r="C987" s="9"/>
    </row>
    <row r="988" ht="12.75" customHeight="1">
      <c r="A988" s="9"/>
      <c r="B988" s="9"/>
      <c r="C988" s="9"/>
    </row>
    <row r="989" ht="12.75" customHeight="1">
      <c r="A989" s="9"/>
      <c r="B989" s="9"/>
      <c r="C989" s="9"/>
    </row>
    <row r="990" ht="12.75" customHeight="1">
      <c r="A990" s="9"/>
      <c r="B990" s="9"/>
      <c r="C990" s="9"/>
    </row>
    <row r="991" ht="12.75" customHeight="1">
      <c r="A991" s="9"/>
      <c r="B991" s="9"/>
      <c r="C991" s="9"/>
    </row>
    <row r="992" ht="12.75" customHeight="1">
      <c r="A992" s="9"/>
      <c r="B992" s="9"/>
      <c r="C992" s="9"/>
    </row>
    <row r="993" ht="12.75" customHeight="1">
      <c r="A993" s="9"/>
      <c r="B993" s="9"/>
      <c r="C993" s="9"/>
    </row>
    <row r="994" ht="12.75" customHeight="1">
      <c r="A994" s="9"/>
      <c r="B994" s="9"/>
      <c r="C994" s="9"/>
    </row>
    <row r="995" ht="12.75" customHeight="1">
      <c r="A995" s="9"/>
      <c r="B995" s="9"/>
      <c r="C995" s="9"/>
    </row>
    <row r="996" ht="12.75" customHeight="1">
      <c r="A996" s="9"/>
      <c r="B996" s="9"/>
      <c r="C996" s="9"/>
    </row>
    <row r="997" ht="12.75" customHeight="1">
      <c r="A997" s="9"/>
      <c r="B997" s="9"/>
      <c r="C997" s="9"/>
    </row>
    <row r="998" ht="12.75" customHeight="1">
      <c r="A998" s="9"/>
      <c r="B998" s="9"/>
      <c r="C998" s="9"/>
    </row>
    <row r="999" ht="12.75" customHeight="1">
      <c r="A999" s="9"/>
      <c r="B999" s="9"/>
      <c r="C999" s="9"/>
    </row>
    <row r="1000" ht="12.75" customHeight="1">
      <c r="A1000" s="9"/>
      <c r="B1000" s="9"/>
      <c r="C1000" s="9"/>
    </row>
    <row r="1001" ht="12.75" customHeight="1">
      <c r="A1001" s="9"/>
      <c r="B1001" s="9"/>
      <c r="C1001" s="9"/>
    </row>
    <row r="1002" ht="12.75" customHeight="1">
      <c r="A1002" s="9"/>
      <c r="B1002" s="9"/>
      <c r="C1002" s="9"/>
    </row>
    <row r="1003" ht="12.75" customHeight="1">
      <c r="A1003" s="9"/>
      <c r="B1003" s="9"/>
      <c r="C1003" s="9"/>
    </row>
    <row r="1004" ht="12.75" customHeight="1">
      <c r="A1004" s="9"/>
      <c r="B1004" s="9"/>
      <c r="C1004" s="9"/>
    </row>
    <row r="1005" ht="12.75" customHeight="1">
      <c r="A1005" s="9"/>
      <c r="B1005" s="9"/>
      <c r="C1005" s="9"/>
    </row>
    <row r="1006" ht="12.75" customHeight="1">
      <c r="A1006" s="9"/>
      <c r="B1006" s="9"/>
      <c r="C1006" s="9"/>
    </row>
    <row r="1007" ht="12.75" customHeight="1">
      <c r="A1007" s="9"/>
      <c r="B1007" s="9"/>
      <c r="C1007" s="9"/>
    </row>
    <row r="1008" ht="12.75" customHeight="1">
      <c r="A1008" s="9"/>
      <c r="B1008" s="9"/>
      <c r="C1008" s="9"/>
    </row>
    <row r="1009" ht="12.75" customHeight="1">
      <c r="A1009" s="9"/>
      <c r="B1009" s="9"/>
      <c r="C1009" s="9"/>
    </row>
    <row r="1010" ht="12.75" customHeight="1">
      <c r="A1010" s="9"/>
      <c r="B1010" s="9"/>
      <c r="C1010" s="9"/>
    </row>
    <row r="1011" ht="12.75" customHeight="1">
      <c r="A1011" s="9"/>
      <c r="B1011" s="9"/>
      <c r="C1011" s="9"/>
    </row>
    <row r="1012" ht="12.75" customHeight="1">
      <c r="A1012" s="9"/>
      <c r="B1012" s="9"/>
      <c r="C1012" s="9"/>
    </row>
    <row r="1013" ht="12.75" customHeight="1">
      <c r="A1013" s="9"/>
      <c r="B1013" s="9"/>
      <c r="C1013" s="9"/>
    </row>
    <row r="1014" ht="12.75" customHeight="1">
      <c r="A1014" s="9"/>
      <c r="B1014" s="9"/>
      <c r="C1014" s="9"/>
    </row>
    <row r="1015" ht="12.75" customHeight="1">
      <c r="A1015" s="9"/>
      <c r="B1015" s="9"/>
      <c r="C1015" s="9"/>
    </row>
    <row r="1016" ht="12.75" customHeight="1">
      <c r="A1016" s="9"/>
      <c r="B1016" s="9"/>
      <c r="C1016" s="9"/>
    </row>
    <row r="1017" ht="12.75" customHeight="1">
      <c r="A1017" s="9"/>
      <c r="B1017" s="9"/>
      <c r="C1017" s="9"/>
    </row>
    <row r="1018" ht="12.75" customHeight="1">
      <c r="A1018" s="9"/>
      <c r="B1018" s="9"/>
      <c r="C1018" s="9"/>
    </row>
    <row r="1019" ht="12.75" customHeight="1">
      <c r="A1019" s="9"/>
      <c r="B1019" s="9"/>
      <c r="C1019" s="9"/>
    </row>
    <row r="1020" ht="12.75" customHeight="1">
      <c r="A1020" s="9"/>
      <c r="B1020" s="9"/>
      <c r="C1020" s="9"/>
    </row>
    <row r="1021" ht="12.75" customHeight="1">
      <c r="A1021" s="9"/>
      <c r="B1021" s="9"/>
      <c r="C1021" s="9"/>
    </row>
    <row r="1022" ht="12.75" customHeight="1">
      <c r="A1022" s="9"/>
      <c r="B1022" s="9"/>
      <c r="C1022" s="9"/>
    </row>
    <row r="1023" ht="12.75" customHeight="1">
      <c r="A1023" s="9"/>
      <c r="B1023" s="9"/>
      <c r="C1023" s="9"/>
    </row>
    <row r="1024" ht="12.75" customHeight="1">
      <c r="A1024" s="9"/>
      <c r="B1024" s="9"/>
      <c r="C1024" s="9"/>
    </row>
    <row r="1025" ht="12.75" customHeight="1">
      <c r="A1025" s="9"/>
      <c r="B1025" s="9"/>
      <c r="C1025" s="9"/>
    </row>
    <row r="1026" ht="12.75" customHeight="1">
      <c r="A1026" s="9"/>
      <c r="B1026" s="9"/>
      <c r="C1026" s="9"/>
    </row>
    <row r="1027" ht="12.75" customHeight="1">
      <c r="A1027" s="9"/>
      <c r="B1027" s="9"/>
      <c r="C1027" s="9"/>
    </row>
    <row r="1028" ht="12.75" customHeight="1">
      <c r="A1028" s="9"/>
      <c r="B1028" s="9"/>
      <c r="C1028" s="9"/>
    </row>
    <row r="1029" ht="12.75" customHeight="1">
      <c r="A1029" s="9"/>
      <c r="B1029" s="9"/>
      <c r="C1029" s="9"/>
    </row>
    <row r="1030" ht="12.75" customHeight="1">
      <c r="A1030" s="9"/>
      <c r="B1030" s="9"/>
      <c r="C1030" s="9"/>
    </row>
    <row r="1031" ht="12.75" customHeight="1">
      <c r="A1031" s="9"/>
      <c r="B1031" s="9"/>
      <c r="C1031" s="9"/>
    </row>
    <row r="1032" ht="12.75" customHeight="1">
      <c r="A1032" s="9"/>
      <c r="B1032" s="9"/>
      <c r="C1032" s="9"/>
    </row>
    <row r="1033" ht="12.75" customHeight="1">
      <c r="A1033" s="9"/>
      <c r="B1033" s="9"/>
      <c r="C1033" s="9"/>
    </row>
    <row r="1034" ht="12.75" customHeight="1">
      <c r="A1034" s="9"/>
      <c r="B1034" s="9"/>
      <c r="C1034" s="9"/>
    </row>
    <row r="1035" ht="12.75" customHeight="1">
      <c r="A1035" s="9"/>
      <c r="B1035" s="9"/>
      <c r="C1035" s="9"/>
    </row>
    <row r="1036" ht="12.75" customHeight="1">
      <c r="A1036" s="9"/>
      <c r="B1036" s="9"/>
      <c r="C1036" s="9"/>
    </row>
    <row r="1037" ht="12.75" customHeight="1">
      <c r="A1037" s="9"/>
      <c r="B1037" s="9"/>
      <c r="C1037" s="9"/>
    </row>
    <row r="1038" ht="12.75" customHeight="1">
      <c r="A1038" s="9"/>
      <c r="B1038" s="9"/>
      <c r="C1038" s="9"/>
    </row>
    <row r="1039" ht="12.75" customHeight="1">
      <c r="A1039" s="9"/>
      <c r="B1039" s="9"/>
      <c r="C1039" s="9"/>
    </row>
    <row r="1040" ht="12.75" customHeight="1">
      <c r="A1040" s="9"/>
      <c r="B1040" s="9"/>
      <c r="C1040" s="9"/>
    </row>
    <row r="1041" ht="12.75" customHeight="1">
      <c r="A1041" s="9"/>
      <c r="B1041" s="9"/>
      <c r="C1041" s="9"/>
    </row>
    <row r="1042" ht="12.75" customHeight="1">
      <c r="A1042" s="9"/>
      <c r="B1042" s="9"/>
      <c r="C1042" s="9"/>
    </row>
    <row r="1043" ht="12.75" customHeight="1">
      <c r="A1043" s="9"/>
      <c r="B1043" s="9"/>
      <c r="C1043" s="9"/>
    </row>
    <row r="1044" ht="12.75" customHeight="1">
      <c r="A1044" s="9"/>
      <c r="B1044" s="9"/>
      <c r="C1044" s="9"/>
    </row>
    <row r="1045" ht="12.75" customHeight="1">
      <c r="A1045" s="9"/>
      <c r="B1045" s="9"/>
      <c r="C1045" s="9"/>
    </row>
    <row r="1046" ht="12.75" customHeight="1">
      <c r="A1046" s="9"/>
      <c r="B1046" s="9"/>
      <c r="C1046" s="9"/>
    </row>
    <row r="1047" ht="12.75" customHeight="1">
      <c r="A1047" s="9"/>
      <c r="B1047" s="9"/>
      <c r="C1047" s="9"/>
    </row>
    <row r="1048" ht="12.75" customHeight="1">
      <c r="A1048" s="9"/>
      <c r="B1048" s="9"/>
      <c r="C1048" s="9"/>
    </row>
    <row r="1049" ht="12.75" customHeight="1">
      <c r="A1049" s="9"/>
      <c r="B1049" s="9"/>
      <c r="C1049" s="9"/>
    </row>
    <row r="1050" ht="12.75" customHeight="1">
      <c r="A1050" s="9"/>
      <c r="B1050" s="9"/>
      <c r="C1050" s="9"/>
    </row>
    <row r="1051" ht="12.75" customHeight="1">
      <c r="A1051" s="9"/>
      <c r="B1051" s="9"/>
      <c r="C1051" s="9"/>
    </row>
    <row r="1052" ht="12.75" customHeight="1">
      <c r="A1052" s="9"/>
      <c r="B1052" s="9"/>
      <c r="C1052" s="9"/>
    </row>
    <row r="1053" ht="12.75" customHeight="1">
      <c r="A1053" s="9"/>
      <c r="B1053" s="9"/>
      <c r="C1053" s="9"/>
    </row>
    <row r="1054" ht="12.75" customHeight="1">
      <c r="A1054" s="9"/>
      <c r="B1054" s="9"/>
      <c r="C1054" s="9"/>
    </row>
    <row r="1055" ht="12.75" customHeight="1">
      <c r="A1055" s="9"/>
      <c r="B1055" s="9"/>
      <c r="C1055" s="9"/>
    </row>
    <row r="1056" ht="12.75" customHeight="1">
      <c r="A1056" s="9"/>
      <c r="B1056" s="9"/>
      <c r="C1056" s="9"/>
    </row>
    <row r="1057" ht="12.75" customHeight="1">
      <c r="A1057" s="9"/>
      <c r="B1057" s="9"/>
      <c r="C1057" s="9"/>
    </row>
    <row r="1058" ht="12.75" customHeight="1">
      <c r="A1058" s="9"/>
      <c r="B1058" s="9"/>
      <c r="C1058" s="9"/>
    </row>
    <row r="1059" ht="12.75" customHeight="1">
      <c r="A1059" s="9"/>
      <c r="B1059" s="9"/>
      <c r="C1059" s="9"/>
    </row>
    <row r="1060" ht="12.75" customHeight="1">
      <c r="A1060" s="9"/>
      <c r="B1060" s="9"/>
      <c r="C1060" s="9"/>
    </row>
    <row r="1061" ht="12.75" customHeight="1">
      <c r="A1061" s="9"/>
      <c r="B1061" s="9"/>
      <c r="C1061" s="9"/>
    </row>
    <row r="1062" ht="12.75" customHeight="1">
      <c r="A1062" s="9"/>
      <c r="B1062" s="9"/>
      <c r="C1062" s="9"/>
    </row>
    <row r="1063" ht="12.75" customHeight="1">
      <c r="A1063" s="9"/>
      <c r="B1063" s="9"/>
      <c r="C1063" s="9"/>
    </row>
    <row r="1064" ht="12.75" customHeight="1">
      <c r="A1064" s="9"/>
      <c r="B1064" s="9"/>
      <c r="C1064" s="9"/>
    </row>
    <row r="1065" ht="12.75" customHeight="1">
      <c r="A1065" s="9"/>
      <c r="B1065" s="9"/>
      <c r="C1065" s="9"/>
    </row>
    <row r="1066" ht="12.75" customHeight="1">
      <c r="A1066" s="9"/>
      <c r="B1066" s="9"/>
      <c r="C1066" s="9"/>
    </row>
    <row r="1067" ht="12.75" customHeight="1">
      <c r="A1067" s="9"/>
      <c r="B1067" s="9"/>
      <c r="C1067" s="9"/>
    </row>
    <row r="1068" ht="12.75" customHeight="1">
      <c r="A1068" s="9"/>
      <c r="B1068" s="9"/>
      <c r="C1068" s="9"/>
    </row>
    <row r="1069" ht="12.75" customHeight="1">
      <c r="A1069" s="9"/>
      <c r="B1069" s="9"/>
      <c r="C1069" s="9"/>
    </row>
    <row r="1070" ht="12.75" customHeight="1">
      <c r="A1070" s="9"/>
      <c r="B1070" s="9"/>
      <c r="C1070" s="9"/>
    </row>
    <row r="1071" ht="12.75" customHeight="1">
      <c r="A1071" s="9"/>
      <c r="B1071" s="9"/>
      <c r="C1071" s="9"/>
    </row>
    <row r="1072" ht="12.75" customHeight="1">
      <c r="A1072" s="9"/>
      <c r="B1072" s="9"/>
      <c r="C1072" s="9"/>
    </row>
    <row r="1073" ht="12.75" customHeight="1">
      <c r="A1073" s="9"/>
      <c r="B1073" s="9"/>
      <c r="C1073" s="9"/>
    </row>
    <row r="1074" ht="12.75" customHeight="1">
      <c r="A1074" s="9"/>
      <c r="B1074" s="9"/>
      <c r="C1074" s="9"/>
    </row>
    <row r="1075" ht="12.75" customHeight="1">
      <c r="A1075" s="9"/>
      <c r="B1075" s="9"/>
      <c r="C1075" s="9"/>
    </row>
    <row r="1076" ht="12.75" customHeight="1">
      <c r="A1076" s="9"/>
      <c r="B1076" s="9"/>
      <c r="C1076" s="9"/>
    </row>
    <row r="1077" ht="12.75" customHeight="1">
      <c r="A1077" s="9"/>
      <c r="B1077" s="9"/>
      <c r="C1077" s="9"/>
    </row>
    <row r="1078" ht="12.75" customHeight="1">
      <c r="A1078" s="9"/>
      <c r="B1078" s="9"/>
      <c r="C1078" s="9"/>
    </row>
    <row r="1079" ht="12.75" customHeight="1">
      <c r="A1079" s="9"/>
      <c r="B1079" s="9"/>
      <c r="C1079" s="9"/>
    </row>
    <row r="1080" ht="12.75" customHeight="1">
      <c r="A1080" s="9"/>
      <c r="B1080" s="9"/>
      <c r="C1080" s="9"/>
    </row>
    <row r="1081" ht="12.75" customHeight="1">
      <c r="A1081" s="9"/>
      <c r="B1081" s="9"/>
      <c r="C1081" s="9"/>
    </row>
    <row r="1082" ht="12.75" customHeight="1">
      <c r="A1082" s="9"/>
      <c r="B1082" s="9"/>
      <c r="C1082" s="9"/>
    </row>
    <row r="1083" ht="12.75" customHeight="1">
      <c r="A1083" s="9"/>
      <c r="B1083" s="9"/>
      <c r="C1083" s="9"/>
    </row>
    <row r="1084" ht="12.75" customHeight="1">
      <c r="A1084" s="9"/>
      <c r="B1084" s="9"/>
      <c r="C1084" s="9"/>
    </row>
    <row r="1085" ht="12.75" customHeight="1">
      <c r="A1085" s="9"/>
      <c r="B1085" s="9"/>
      <c r="C1085" s="9"/>
    </row>
    <row r="1086" ht="12.75" customHeight="1">
      <c r="A1086" s="9"/>
      <c r="B1086" s="9"/>
      <c r="C1086" s="9"/>
    </row>
    <row r="1087" ht="12.75" customHeight="1">
      <c r="A1087" s="9"/>
      <c r="B1087" s="9"/>
      <c r="C1087" s="9"/>
    </row>
    <row r="1088" ht="12.75" customHeight="1">
      <c r="A1088" s="9"/>
      <c r="B1088" s="9"/>
      <c r="C1088" s="9"/>
    </row>
    <row r="1089" ht="12.75" customHeight="1">
      <c r="A1089" s="9"/>
      <c r="B1089" s="9"/>
      <c r="C1089" s="9"/>
    </row>
    <row r="1090" ht="12.75" customHeight="1">
      <c r="A1090" s="9"/>
      <c r="B1090" s="9"/>
      <c r="C1090" s="9"/>
    </row>
    <row r="1091" ht="12.75" customHeight="1">
      <c r="A1091" s="9"/>
      <c r="B1091" s="9"/>
      <c r="C1091" s="9"/>
    </row>
    <row r="1092" ht="12.75" customHeight="1">
      <c r="A1092" s="9"/>
      <c r="B1092" s="9"/>
      <c r="C1092" s="9"/>
    </row>
    <row r="1093" ht="12.75" customHeight="1">
      <c r="A1093" s="9"/>
      <c r="B1093" s="9"/>
      <c r="C1093" s="9"/>
    </row>
    <row r="1094" ht="12.75" customHeight="1">
      <c r="A1094" s="9"/>
      <c r="B1094" s="9"/>
      <c r="C1094" s="9"/>
    </row>
    <row r="1095" ht="12.75" customHeight="1">
      <c r="A1095" s="9"/>
      <c r="B1095" s="9"/>
      <c r="C1095" s="9"/>
    </row>
    <row r="1096" ht="12.75" customHeight="1">
      <c r="A1096" s="9"/>
      <c r="B1096" s="9"/>
      <c r="C1096" s="9"/>
    </row>
    <row r="1097" ht="12.75" customHeight="1">
      <c r="A1097" s="9"/>
      <c r="B1097" s="9"/>
      <c r="C1097" s="9"/>
    </row>
    <row r="1098" ht="12.75" customHeight="1">
      <c r="A1098" s="9"/>
      <c r="B1098" s="9"/>
      <c r="C1098" s="9"/>
    </row>
    <row r="1099" ht="12.75" customHeight="1">
      <c r="A1099" s="9"/>
      <c r="B1099" s="9"/>
      <c r="C1099" s="9"/>
    </row>
    <row r="1100" ht="12.75" customHeight="1">
      <c r="A1100" s="9"/>
      <c r="B1100" s="9"/>
      <c r="C1100" s="9"/>
    </row>
    <row r="1101" ht="12.75" customHeight="1">
      <c r="A1101" s="9"/>
      <c r="B1101" s="9"/>
      <c r="C1101" s="9"/>
    </row>
    <row r="1102" ht="12.75" customHeight="1">
      <c r="A1102" s="9"/>
      <c r="B1102" s="9"/>
      <c r="C1102" s="9"/>
    </row>
    <row r="1103" ht="12.75" customHeight="1">
      <c r="A1103" s="9"/>
      <c r="B1103" s="9"/>
      <c r="C1103" s="9"/>
    </row>
    <row r="1104" ht="12.75" customHeight="1">
      <c r="A1104" s="9"/>
      <c r="B1104" s="9"/>
      <c r="C1104" s="9"/>
    </row>
    <row r="1105" ht="12.75" customHeight="1">
      <c r="A1105" s="9"/>
      <c r="B1105" s="9"/>
      <c r="C1105" s="9"/>
    </row>
    <row r="1106" ht="12.75" customHeight="1">
      <c r="A1106" s="9"/>
      <c r="B1106" s="9"/>
      <c r="C1106" s="9"/>
    </row>
    <row r="1107" ht="12.75" customHeight="1">
      <c r="A1107" s="9"/>
      <c r="B1107" s="9"/>
      <c r="C1107" s="9"/>
    </row>
    <row r="1108" ht="12.75" customHeight="1">
      <c r="A1108" s="9"/>
      <c r="B1108" s="9"/>
      <c r="C1108" s="9"/>
    </row>
    <row r="1109" ht="12.75" customHeight="1">
      <c r="A1109" s="9"/>
      <c r="B1109" s="9"/>
      <c r="C1109" s="9"/>
    </row>
    <row r="1110" ht="12.75" customHeight="1">
      <c r="A1110" s="9"/>
      <c r="B1110" s="9"/>
      <c r="C1110" s="9"/>
    </row>
    <row r="1111" ht="12.75" customHeight="1">
      <c r="A1111" s="9"/>
      <c r="B1111" s="9"/>
      <c r="C1111" s="9"/>
    </row>
    <row r="1112" ht="12.75" customHeight="1">
      <c r="A1112" s="9"/>
      <c r="B1112" s="9"/>
      <c r="C1112" s="9"/>
    </row>
    <row r="1113" ht="12.75" customHeight="1">
      <c r="A1113" s="9"/>
      <c r="B1113" s="9"/>
      <c r="C1113" s="9"/>
    </row>
    <row r="1114" ht="12.75" customHeight="1">
      <c r="A1114" s="9"/>
      <c r="B1114" s="9"/>
      <c r="C1114" s="9"/>
    </row>
    <row r="1115" ht="12.75" customHeight="1">
      <c r="A1115" s="9"/>
      <c r="B1115" s="9"/>
      <c r="C1115" s="9"/>
    </row>
    <row r="1116" ht="12.75" customHeight="1">
      <c r="A1116" s="9"/>
      <c r="B1116" s="9"/>
      <c r="C1116" s="9"/>
    </row>
    <row r="1117" ht="12.75" customHeight="1">
      <c r="A1117" s="9"/>
      <c r="B1117" s="9"/>
      <c r="C1117" s="9"/>
    </row>
    <row r="1118" ht="12.75" customHeight="1">
      <c r="A1118" s="9"/>
      <c r="B1118" s="9"/>
      <c r="C1118" s="9"/>
    </row>
    <row r="1119" ht="12.75" customHeight="1">
      <c r="A1119" s="9"/>
      <c r="B1119" s="9"/>
      <c r="C1119" s="9"/>
    </row>
    <row r="1120" ht="12.75" customHeight="1">
      <c r="A1120" s="9"/>
      <c r="B1120" s="9"/>
      <c r="C1120" s="9"/>
    </row>
    <row r="1121" ht="12.75" customHeight="1">
      <c r="A1121" s="9"/>
      <c r="B1121" s="9"/>
      <c r="C1121" s="9"/>
    </row>
    <row r="1122" ht="12.75" customHeight="1">
      <c r="A1122" s="9"/>
      <c r="B1122" s="9"/>
      <c r="C1122" s="9"/>
    </row>
    <row r="1123" ht="12.75" customHeight="1">
      <c r="A1123" s="9"/>
      <c r="B1123" s="9"/>
      <c r="C1123" s="9"/>
    </row>
    <row r="1124" ht="12.75" customHeight="1">
      <c r="A1124" s="9"/>
      <c r="B1124" s="9"/>
      <c r="C1124" s="9"/>
    </row>
    <row r="1125" ht="12.75" customHeight="1">
      <c r="A1125" s="9"/>
      <c r="B1125" s="9"/>
      <c r="C1125" s="9"/>
    </row>
    <row r="1126" ht="12.75" customHeight="1">
      <c r="A1126" s="9"/>
      <c r="B1126" s="9"/>
      <c r="C1126" s="9"/>
    </row>
    <row r="1127" ht="12.75" customHeight="1">
      <c r="A1127" s="9"/>
      <c r="B1127" s="9"/>
      <c r="C1127" s="9"/>
    </row>
    <row r="1128" ht="12.75" customHeight="1">
      <c r="A1128" s="9"/>
      <c r="B1128" s="9"/>
      <c r="C1128" s="9"/>
    </row>
    <row r="1129" ht="12.75" customHeight="1">
      <c r="A1129" s="9"/>
      <c r="B1129" s="9"/>
      <c r="C1129" s="9"/>
    </row>
    <row r="1130" ht="12.75" customHeight="1">
      <c r="A1130" s="9"/>
      <c r="B1130" s="9"/>
      <c r="C1130" s="9"/>
    </row>
    <row r="1131" ht="12.75" customHeight="1">
      <c r="A1131" s="9"/>
      <c r="B1131" s="9"/>
      <c r="C1131" s="9"/>
    </row>
    <row r="1132" ht="12.75" customHeight="1">
      <c r="A1132" s="9"/>
      <c r="B1132" s="9"/>
      <c r="C1132" s="9"/>
    </row>
    <row r="1133" ht="12.75" customHeight="1">
      <c r="A1133" s="9"/>
      <c r="B1133" s="9"/>
      <c r="C1133" s="9"/>
    </row>
    <row r="1134" ht="12.75" customHeight="1">
      <c r="A1134" s="9"/>
      <c r="B1134" s="9"/>
      <c r="C1134" s="9"/>
    </row>
    <row r="1135" ht="12.75" customHeight="1">
      <c r="A1135" s="9"/>
      <c r="B1135" s="9"/>
      <c r="C1135" s="9"/>
    </row>
    <row r="1136" ht="12.75" customHeight="1">
      <c r="A1136" s="9"/>
      <c r="B1136" s="9"/>
      <c r="C1136" s="9"/>
    </row>
    <row r="1137" ht="12.75" customHeight="1">
      <c r="A1137" s="9"/>
      <c r="B1137" s="9"/>
      <c r="C1137" s="9"/>
    </row>
    <row r="1138" ht="12.75" customHeight="1">
      <c r="A1138" s="9"/>
      <c r="B1138" s="9"/>
      <c r="C1138" s="9"/>
    </row>
    <row r="1139" ht="12.75" customHeight="1">
      <c r="A1139" s="9"/>
      <c r="B1139" s="9"/>
      <c r="C1139" s="9"/>
    </row>
    <row r="1140" ht="12.75" customHeight="1">
      <c r="A1140" s="9"/>
      <c r="B1140" s="9"/>
      <c r="C1140" s="9"/>
    </row>
    <row r="1141" ht="12.75" customHeight="1">
      <c r="A1141" s="9"/>
      <c r="B1141" s="9"/>
      <c r="C1141" s="9"/>
    </row>
    <row r="1142" ht="12.75" customHeight="1">
      <c r="A1142" s="9"/>
      <c r="B1142" s="9"/>
      <c r="C1142" s="9"/>
    </row>
    <row r="1143" ht="12.75" customHeight="1">
      <c r="A1143" s="9"/>
      <c r="B1143" s="9"/>
      <c r="C1143" s="9"/>
    </row>
    <row r="1144" ht="12.75" customHeight="1">
      <c r="A1144" s="9"/>
      <c r="B1144" s="9"/>
      <c r="C1144" s="9"/>
    </row>
    <row r="1145" ht="12.75" customHeight="1">
      <c r="A1145" s="9"/>
      <c r="B1145" s="9"/>
      <c r="C1145" s="9"/>
    </row>
    <row r="1146" ht="12.75" customHeight="1">
      <c r="A1146" s="9"/>
      <c r="B1146" s="9"/>
      <c r="C1146" s="9"/>
    </row>
    <row r="1147" ht="12.75" customHeight="1">
      <c r="A1147" s="9"/>
      <c r="B1147" s="9"/>
      <c r="C1147" s="9"/>
    </row>
    <row r="1148" ht="12.75" customHeight="1">
      <c r="A1148" s="9"/>
      <c r="B1148" s="9"/>
      <c r="C1148" s="9"/>
    </row>
    <row r="1149" ht="12.75" customHeight="1">
      <c r="A1149" s="9"/>
      <c r="B1149" s="9"/>
      <c r="C1149" s="9"/>
    </row>
    <row r="1150" ht="12.75" customHeight="1">
      <c r="A1150" s="9"/>
      <c r="B1150" s="9"/>
      <c r="C1150" s="9"/>
    </row>
    <row r="1151" ht="12.75" customHeight="1">
      <c r="A1151" s="9"/>
      <c r="B1151" s="9"/>
      <c r="C1151" s="9"/>
    </row>
    <row r="1152" ht="12.75" customHeight="1">
      <c r="A1152" s="9"/>
      <c r="B1152" s="9"/>
      <c r="C1152" s="9"/>
    </row>
    <row r="1153" ht="12.75" customHeight="1">
      <c r="A1153" s="9"/>
      <c r="B1153" s="9"/>
      <c r="C1153" s="9"/>
    </row>
    <row r="1154" ht="12.75" customHeight="1">
      <c r="A1154" s="9"/>
      <c r="B1154" s="9"/>
      <c r="C1154" s="9"/>
    </row>
    <row r="1155" ht="12.75" customHeight="1">
      <c r="A1155" s="9"/>
      <c r="B1155" s="9"/>
      <c r="C1155" s="9"/>
    </row>
    <row r="1156" ht="12.75" customHeight="1">
      <c r="A1156" s="9"/>
      <c r="B1156" s="9"/>
      <c r="C1156" s="9"/>
    </row>
    <row r="1157" ht="12.75" customHeight="1">
      <c r="A1157" s="9"/>
      <c r="B1157" s="9"/>
      <c r="C1157" s="9"/>
    </row>
    <row r="1158" ht="12.75" customHeight="1">
      <c r="A1158" s="9"/>
      <c r="B1158" s="9"/>
      <c r="C1158" s="9"/>
    </row>
    <row r="1159" ht="12.75" customHeight="1">
      <c r="A1159" s="9"/>
      <c r="B1159" s="9"/>
      <c r="C1159" s="9"/>
    </row>
    <row r="1160" ht="12.75" customHeight="1">
      <c r="A1160" s="9"/>
      <c r="B1160" s="9"/>
      <c r="C1160" s="9"/>
    </row>
    <row r="1161" ht="12.75" customHeight="1">
      <c r="A1161" s="9"/>
      <c r="B1161" s="9"/>
      <c r="C1161" s="9"/>
    </row>
    <row r="1162" ht="12.75" customHeight="1">
      <c r="A1162" s="9"/>
      <c r="B1162" s="9"/>
      <c r="C1162" s="9"/>
    </row>
    <row r="1163" ht="12.75" customHeight="1">
      <c r="A1163" s="9"/>
      <c r="B1163" s="9"/>
      <c r="C1163" s="9"/>
    </row>
    <row r="1164" ht="12.75" customHeight="1">
      <c r="A1164" s="9"/>
      <c r="B1164" s="9"/>
      <c r="C1164" s="9"/>
    </row>
    <row r="1165" ht="12.75" customHeight="1">
      <c r="A1165" s="9"/>
      <c r="B1165" s="9"/>
      <c r="C1165" s="9"/>
    </row>
    <row r="1166" ht="12.75" customHeight="1">
      <c r="A1166" s="9"/>
      <c r="B1166" s="9"/>
      <c r="C1166" s="9"/>
    </row>
    <row r="1167" ht="12.75" customHeight="1">
      <c r="A1167" s="9"/>
      <c r="B1167" s="9"/>
      <c r="C1167" s="9"/>
    </row>
    <row r="1168" ht="12.75" customHeight="1">
      <c r="A1168" s="9"/>
      <c r="B1168" s="9"/>
      <c r="C1168" s="9"/>
    </row>
    <row r="1169" ht="12.75" customHeight="1">
      <c r="A1169" s="9"/>
      <c r="B1169" s="9"/>
      <c r="C1169" s="9"/>
    </row>
    <row r="1170" ht="12.75" customHeight="1">
      <c r="A1170" s="9"/>
      <c r="B1170" s="9"/>
      <c r="C1170" s="9"/>
    </row>
    <row r="1171" ht="12.75" customHeight="1">
      <c r="A1171" s="9"/>
      <c r="B1171" s="9"/>
      <c r="C1171" s="9"/>
    </row>
    <row r="1172" ht="12.75" customHeight="1">
      <c r="A1172" s="9"/>
      <c r="B1172" s="9"/>
      <c r="C1172" s="9"/>
    </row>
    <row r="1173" ht="12.75" customHeight="1">
      <c r="A1173" s="9"/>
      <c r="B1173" s="9"/>
      <c r="C1173" s="9"/>
    </row>
    <row r="1174" ht="12.75" customHeight="1">
      <c r="A1174" s="9"/>
      <c r="B1174" s="9"/>
      <c r="C1174" s="9"/>
    </row>
    <row r="1175" ht="12.75" customHeight="1">
      <c r="A1175" s="9"/>
      <c r="B1175" s="9"/>
      <c r="C1175" s="9"/>
    </row>
    <row r="1176" ht="12.75" customHeight="1">
      <c r="A1176" s="9"/>
      <c r="B1176" s="9"/>
      <c r="C1176" s="9"/>
    </row>
    <row r="1177" ht="12.75" customHeight="1">
      <c r="A1177" s="9"/>
      <c r="B1177" s="9"/>
      <c r="C1177" s="9"/>
    </row>
    <row r="1178" ht="12.75" customHeight="1">
      <c r="A1178" s="9"/>
      <c r="B1178" s="9"/>
      <c r="C1178" s="9"/>
    </row>
    <row r="1179" ht="12.75" customHeight="1">
      <c r="A1179" s="9"/>
      <c r="B1179" s="9"/>
      <c r="C1179" s="9"/>
    </row>
    <row r="1180" ht="12.75" customHeight="1">
      <c r="A1180" s="9"/>
      <c r="B1180" s="9"/>
      <c r="C1180" s="9"/>
    </row>
    <row r="1181" ht="12.75" customHeight="1">
      <c r="A1181" s="9"/>
      <c r="B1181" s="9"/>
      <c r="C1181" s="9"/>
    </row>
    <row r="1182" ht="12.75" customHeight="1">
      <c r="A1182" s="9"/>
      <c r="B1182" s="9"/>
      <c r="C1182" s="9"/>
    </row>
    <row r="1183" ht="12.75" customHeight="1">
      <c r="A1183" s="9"/>
      <c r="B1183" s="9"/>
      <c r="C1183" s="9"/>
    </row>
    <row r="1184" ht="12.75" customHeight="1">
      <c r="A1184" s="9"/>
      <c r="B1184" s="9"/>
      <c r="C1184" s="9"/>
    </row>
    <row r="1185" ht="12.75" customHeight="1">
      <c r="A1185" s="9"/>
      <c r="B1185" s="9"/>
      <c r="C1185" s="9"/>
    </row>
    <row r="1186" ht="12.75" customHeight="1">
      <c r="A1186" s="9"/>
      <c r="B1186" s="9"/>
      <c r="C1186" s="9"/>
    </row>
    <row r="1187" ht="12.75" customHeight="1">
      <c r="A1187" s="9"/>
      <c r="B1187" s="9"/>
      <c r="C1187" s="9"/>
    </row>
    <row r="1188" ht="12.75" customHeight="1">
      <c r="A1188" s="9"/>
      <c r="B1188" s="9"/>
      <c r="C1188" s="9"/>
    </row>
    <row r="1189" ht="12.75" customHeight="1">
      <c r="A1189" s="9"/>
      <c r="B1189" s="9"/>
      <c r="C1189" s="9"/>
    </row>
    <row r="1190" ht="12.75" customHeight="1">
      <c r="A1190" s="9"/>
      <c r="B1190" s="9"/>
      <c r="C1190" s="9"/>
    </row>
    <row r="1191" ht="12.75" customHeight="1">
      <c r="A1191" s="9"/>
      <c r="B1191" s="9"/>
      <c r="C1191" s="9"/>
    </row>
    <row r="1192" ht="12.75" customHeight="1">
      <c r="A1192" s="9"/>
      <c r="B1192" s="9"/>
      <c r="C1192" s="9"/>
    </row>
    <row r="1193" ht="12.75" customHeight="1">
      <c r="A1193" s="9"/>
      <c r="B1193" s="9"/>
      <c r="C1193" s="9"/>
    </row>
    <row r="1194" ht="12.75" customHeight="1">
      <c r="A1194" s="9"/>
      <c r="B1194" s="9"/>
      <c r="C1194" s="9"/>
    </row>
    <row r="1195" ht="12.75" customHeight="1">
      <c r="A1195" s="9"/>
      <c r="B1195" s="9"/>
      <c r="C1195" s="9"/>
    </row>
    <row r="1196" ht="12.75" customHeight="1">
      <c r="A1196" s="9"/>
      <c r="B1196" s="9"/>
      <c r="C1196" s="9"/>
    </row>
    <row r="1197" ht="12.75" customHeight="1">
      <c r="A1197" s="9"/>
      <c r="B1197" s="9"/>
      <c r="C1197" s="9"/>
    </row>
    <row r="1198" ht="12.75" customHeight="1">
      <c r="A1198" s="9"/>
      <c r="B1198" s="9"/>
      <c r="C1198" s="9"/>
    </row>
    <row r="1199" ht="12.75" customHeight="1">
      <c r="A1199" s="9"/>
      <c r="B1199" s="9"/>
      <c r="C1199" s="9"/>
    </row>
    <row r="1200" ht="12.75" customHeight="1">
      <c r="A1200" s="9"/>
      <c r="B1200" s="9"/>
      <c r="C1200" s="9"/>
    </row>
    <row r="1201" ht="12.75" customHeight="1">
      <c r="A1201" s="9"/>
      <c r="B1201" s="9"/>
      <c r="C1201" s="9"/>
    </row>
    <row r="1202" ht="12.75" customHeight="1">
      <c r="A1202" s="9"/>
      <c r="B1202" s="9"/>
      <c r="C1202" s="9"/>
    </row>
    <row r="1203" ht="12.75" customHeight="1">
      <c r="A1203" s="9"/>
      <c r="B1203" s="9"/>
      <c r="C1203" s="9"/>
    </row>
    <row r="1204" ht="12.75" customHeight="1">
      <c r="A1204" s="9"/>
      <c r="B1204" s="9"/>
      <c r="C1204" s="9"/>
    </row>
    <row r="1205" ht="12.75" customHeight="1">
      <c r="A1205" s="9"/>
      <c r="B1205" s="9"/>
      <c r="C1205" s="9"/>
    </row>
    <row r="1206" ht="12.75" customHeight="1">
      <c r="A1206" s="9"/>
      <c r="B1206" s="9"/>
      <c r="C1206" s="9"/>
    </row>
    <row r="1207" ht="12.75" customHeight="1">
      <c r="A1207" s="9"/>
      <c r="B1207" s="9"/>
      <c r="C1207" s="9"/>
    </row>
    <row r="1208" ht="12.75" customHeight="1">
      <c r="A1208" s="9"/>
      <c r="B1208" s="9"/>
      <c r="C1208" s="9"/>
    </row>
    <row r="1209" ht="12.75" customHeight="1">
      <c r="A1209" s="9"/>
      <c r="B1209" s="9"/>
      <c r="C1209" s="9"/>
    </row>
    <row r="1210" ht="12.75" customHeight="1">
      <c r="A1210" s="9"/>
      <c r="B1210" s="9"/>
      <c r="C1210" s="9"/>
    </row>
    <row r="1211" ht="12.75" customHeight="1">
      <c r="A1211" s="9"/>
      <c r="B1211" s="9"/>
      <c r="C1211" s="9"/>
    </row>
    <row r="1212" ht="12.75" customHeight="1">
      <c r="A1212" s="9"/>
      <c r="B1212" s="9"/>
      <c r="C1212" s="9"/>
    </row>
    <row r="1213" ht="12.75" customHeight="1">
      <c r="A1213" s="9"/>
      <c r="B1213" s="9"/>
      <c r="C1213" s="9"/>
    </row>
    <row r="1214" ht="12.75" customHeight="1">
      <c r="A1214" s="9"/>
      <c r="B1214" s="9"/>
      <c r="C1214" s="9"/>
    </row>
    <row r="1215" ht="12.75" customHeight="1">
      <c r="A1215" s="9"/>
      <c r="B1215" s="9"/>
      <c r="C1215" s="9"/>
    </row>
    <row r="1216" ht="12.75" customHeight="1">
      <c r="A1216" s="9"/>
      <c r="B1216" s="9"/>
      <c r="C1216" s="9"/>
    </row>
    <row r="1217" ht="12.75" customHeight="1">
      <c r="A1217" s="9"/>
      <c r="B1217" s="9"/>
      <c r="C1217" s="9"/>
    </row>
    <row r="1218" ht="12.75" customHeight="1">
      <c r="A1218" s="9"/>
      <c r="B1218" s="9"/>
      <c r="C1218" s="9"/>
    </row>
    <row r="1219" ht="12.75" customHeight="1">
      <c r="A1219" s="9"/>
      <c r="B1219" s="9"/>
      <c r="C1219" s="9"/>
    </row>
    <row r="1220" ht="12.75" customHeight="1">
      <c r="A1220" s="9"/>
      <c r="B1220" s="9"/>
      <c r="C1220" s="9"/>
    </row>
    <row r="1221" ht="12.75" customHeight="1">
      <c r="A1221" s="9"/>
      <c r="B1221" s="9"/>
      <c r="C1221" s="9"/>
    </row>
    <row r="1222" ht="12.75" customHeight="1">
      <c r="A1222" s="9"/>
      <c r="B1222" s="9"/>
      <c r="C1222" s="9"/>
    </row>
    <row r="1223" ht="12.75" customHeight="1">
      <c r="A1223" s="9"/>
      <c r="B1223" s="9"/>
      <c r="C1223" s="9"/>
    </row>
    <row r="1224" ht="12.75" customHeight="1">
      <c r="A1224" s="9"/>
      <c r="B1224" s="9"/>
      <c r="C1224" s="9"/>
    </row>
    <row r="1225" ht="12.75" customHeight="1">
      <c r="A1225" s="9"/>
      <c r="B1225" s="9"/>
      <c r="C1225" s="9"/>
    </row>
    <row r="1226" ht="12.75" customHeight="1">
      <c r="A1226" s="9"/>
      <c r="B1226" s="9"/>
      <c r="C1226" s="9"/>
    </row>
    <row r="1227" ht="12.75" customHeight="1">
      <c r="A1227" s="9"/>
      <c r="B1227" s="9"/>
      <c r="C1227" s="9"/>
    </row>
    <row r="1228" ht="12.75" customHeight="1">
      <c r="A1228" s="9"/>
      <c r="B1228" s="9"/>
      <c r="C1228" s="9"/>
    </row>
    <row r="1229" ht="12.75" customHeight="1">
      <c r="A1229" s="9"/>
      <c r="B1229" s="9"/>
      <c r="C1229" s="9"/>
    </row>
    <row r="1230" ht="12.75" customHeight="1">
      <c r="A1230" s="9"/>
      <c r="B1230" s="9"/>
      <c r="C1230" s="9"/>
    </row>
    <row r="1231" ht="12.75" customHeight="1">
      <c r="A1231" s="9"/>
      <c r="B1231" s="9"/>
      <c r="C1231" s="9"/>
    </row>
    <row r="1232" ht="12.75" customHeight="1">
      <c r="A1232" s="9"/>
      <c r="B1232" s="9"/>
      <c r="C1232" s="9"/>
    </row>
    <row r="1233" ht="12.75" customHeight="1">
      <c r="A1233" s="9"/>
      <c r="B1233" s="9"/>
      <c r="C1233" s="9"/>
    </row>
    <row r="1234" ht="12.75" customHeight="1">
      <c r="A1234" s="9"/>
      <c r="B1234" s="9"/>
      <c r="C1234" s="9"/>
    </row>
    <row r="1235" ht="12.75" customHeight="1">
      <c r="A1235" s="9"/>
      <c r="B1235" s="9"/>
      <c r="C1235" s="9"/>
    </row>
    <row r="1236" ht="12.75" customHeight="1">
      <c r="A1236" s="9"/>
      <c r="B1236" s="9"/>
      <c r="C1236" s="9"/>
    </row>
    <row r="1237" ht="12.75" customHeight="1">
      <c r="A1237" s="9"/>
      <c r="B1237" s="9"/>
      <c r="C1237" s="9"/>
    </row>
    <row r="1238" ht="12.75" customHeight="1">
      <c r="A1238" s="9"/>
      <c r="B1238" s="9"/>
      <c r="C1238" s="9"/>
    </row>
    <row r="1239" ht="12.75" customHeight="1">
      <c r="A1239" s="9"/>
      <c r="B1239" s="9"/>
      <c r="C1239" s="9"/>
    </row>
    <row r="1240" ht="12.75" customHeight="1">
      <c r="A1240" s="9"/>
      <c r="B1240" s="9"/>
      <c r="C1240" s="9"/>
    </row>
    <row r="1241" ht="12.75" customHeight="1">
      <c r="A1241" s="9"/>
      <c r="B1241" s="9"/>
      <c r="C1241" s="9"/>
    </row>
    <row r="1242" ht="12.75" customHeight="1">
      <c r="A1242" s="9"/>
      <c r="B1242" s="9"/>
      <c r="C1242" s="9"/>
    </row>
    <row r="1243" ht="12.75" customHeight="1">
      <c r="A1243" s="9"/>
      <c r="B1243" s="9"/>
      <c r="C1243" s="9"/>
    </row>
    <row r="1244" ht="12.75" customHeight="1">
      <c r="A1244" s="9"/>
      <c r="B1244" s="9"/>
      <c r="C1244" s="9"/>
    </row>
    <row r="1245" ht="12.75" customHeight="1">
      <c r="A1245" s="9"/>
      <c r="B1245" s="9"/>
      <c r="C1245" s="9"/>
    </row>
    <row r="1246" ht="12.75" customHeight="1">
      <c r="A1246" s="9"/>
      <c r="B1246" s="9"/>
      <c r="C1246" s="9"/>
    </row>
    <row r="1247" ht="12.75" customHeight="1">
      <c r="A1247" s="9"/>
      <c r="B1247" s="9"/>
      <c r="C1247" s="9"/>
    </row>
    <row r="1248" ht="12.75" customHeight="1">
      <c r="A1248" s="9"/>
      <c r="B1248" s="9"/>
      <c r="C1248" s="9"/>
    </row>
    <row r="1249" ht="12.75" customHeight="1">
      <c r="A1249" s="9"/>
      <c r="B1249" s="9"/>
      <c r="C1249" s="9"/>
    </row>
    <row r="1250" ht="12.75" customHeight="1">
      <c r="A1250" s="9"/>
      <c r="B1250" s="9"/>
      <c r="C1250" s="9"/>
    </row>
    <row r="1251" ht="12.75" customHeight="1">
      <c r="A1251" s="9"/>
      <c r="B1251" s="9"/>
      <c r="C1251" s="9"/>
    </row>
    <row r="1252" ht="12.75" customHeight="1">
      <c r="A1252" s="9"/>
      <c r="B1252" s="9"/>
      <c r="C1252" s="9"/>
    </row>
    <row r="1253" ht="12.75" customHeight="1">
      <c r="A1253" s="9"/>
      <c r="B1253" s="9"/>
      <c r="C1253" s="9"/>
    </row>
    <row r="1254" ht="12.75" customHeight="1">
      <c r="A1254" s="9"/>
      <c r="B1254" s="9"/>
      <c r="C1254" s="9"/>
    </row>
    <row r="1255" ht="12.75" customHeight="1">
      <c r="A1255" s="9"/>
      <c r="B1255" s="9"/>
      <c r="C1255" s="9"/>
    </row>
    <row r="1256" ht="12.75" customHeight="1">
      <c r="A1256" s="9"/>
      <c r="B1256" s="9"/>
      <c r="C1256" s="9"/>
    </row>
    <row r="1257" ht="12.75" customHeight="1">
      <c r="A1257" s="9"/>
      <c r="B1257" s="9"/>
      <c r="C1257" s="9"/>
    </row>
    <row r="1258" ht="12.75" customHeight="1">
      <c r="A1258" s="9"/>
      <c r="B1258" s="9"/>
      <c r="C1258" s="9"/>
    </row>
    <row r="1259" ht="12.75" customHeight="1">
      <c r="A1259" s="9"/>
      <c r="B1259" s="9"/>
      <c r="C1259" s="9"/>
    </row>
    <row r="1260" ht="12.75" customHeight="1">
      <c r="A1260" s="9"/>
      <c r="B1260" s="9"/>
      <c r="C1260" s="9"/>
    </row>
    <row r="1261" ht="12.75" customHeight="1">
      <c r="A1261" s="9"/>
      <c r="B1261" s="9"/>
      <c r="C1261" s="9"/>
    </row>
    <row r="1262" ht="12.75" customHeight="1">
      <c r="A1262" s="9"/>
      <c r="B1262" s="9"/>
      <c r="C1262" s="9"/>
    </row>
    <row r="1263" ht="12.75" customHeight="1">
      <c r="A1263" s="9"/>
      <c r="B1263" s="9"/>
      <c r="C1263" s="9"/>
    </row>
    <row r="1264" ht="12.75" customHeight="1">
      <c r="A1264" s="9"/>
      <c r="B1264" s="9"/>
      <c r="C1264" s="9"/>
    </row>
    <row r="1265" ht="12.75" customHeight="1">
      <c r="A1265" s="9"/>
      <c r="B1265" s="9"/>
      <c r="C1265" s="9"/>
    </row>
    <row r="1266" ht="12.75" customHeight="1">
      <c r="A1266" s="9"/>
      <c r="B1266" s="9"/>
      <c r="C1266" s="9"/>
    </row>
    <row r="1267" ht="12.75" customHeight="1">
      <c r="A1267" s="9"/>
      <c r="B1267" s="9"/>
      <c r="C1267" s="9"/>
    </row>
    <row r="1268" ht="12.75" customHeight="1">
      <c r="A1268" s="9"/>
      <c r="B1268" s="9"/>
      <c r="C1268" s="9"/>
    </row>
    <row r="1269" ht="12.75" customHeight="1">
      <c r="A1269" s="9"/>
      <c r="B1269" s="9"/>
      <c r="C1269" s="9"/>
    </row>
    <row r="1270" ht="12.75" customHeight="1">
      <c r="A1270" s="9"/>
      <c r="B1270" s="9"/>
      <c r="C1270" s="9"/>
    </row>
    <row r="1271" ht="12.75" customHeight="1">
      <c r="A1271" s="9"/>
      <c r="B1271" s="9"/>
      <c r="C1271" s="9"/>
    </row>
    <row r="1272" ht="12.75" customHeight="1">
      <c r="A1272" s="9"/>
      <c r="B1272" s="9"/>
      <c r="C1272" s="9"/>
    </row>
    <row r="1273" ht="12.75" customHeight="1">
      <c r="A1273" s="9"/>
      <c r="B1273" s="9"/>
      <c r="C1273" s="9"/>
    </row>
    <row r="1274" ht="12.75" customHeight="1">
      <c r="A1274" s="9"/>
      <c r="B1274" s="9"/>
      <c r="C1274" s="9"/>
    </row>
    <row r="1275" ht="12.75" customHeight="1">
      <c r="A1275" s="9"/>
      <c r="B1275" s="9"/>
      <c r="C1275" s="9"/>
    </row>
    <row r="1276" ht="12.75" customHeight="1">
      <c r="A1276" s="9"/>
      <c r="B1276" s="9"/>
      <c r="C1276" s="9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9.25"/>
  </cols>
  <sheetData>
    <row r="1">
      <c r="A1" s="41" t="s">
        <v>414</v>
      </c>
      <c r="B1" s="9"/>
    </row>
    <row r="2">
      <c r="A2" s="4" t="s">
        <v>0</v>
      </c>
      <c r="B2" s="4" t="s">
        <v>266</v>
      </c>
    </row>
    <row r="3">
      <c r="A3" s="4" t="s">
        <v>392</v>
      </c>
      <c r="B3" s="3" t="s">
        <v>415</v>
      </c>
    </row>
    <row r="4">
      <c r="A4" s="4" t="s">
        <v>393</v>
      </c>
      <c r="B4" s="3" t="s">
        <v>416</v>
      </c>
    </row>
    <row r="5">
      <c r="A5" s="4" t="s">
        <v>394</v>
      </c>
      <c r="B5" s="3" t="s">
        <v>417</v>
      </c>
    </row>
    <row r="6">
      <c r="A6" s="9"/>
      <c r="B6" s="3"/>
    </row>
    <row r="7">
      <c r="A7" s="9"/>
      <c r="B7" s="9"/>
    </row>
    <row r="8">
      <c r="A8" s="9"/>
      <c r="B8" s="9"/>
    </row>
    <row r="9">
      <c r="A9" s="9"/>
      <c r="B9" s="9"/>
    </row>
    <row r="10">
      <c r="A10" s="9"/>
      <c r="B10" s="9"/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  <row r="31">
      <c r="A31" s="9"/>
      <c r="B31" s="9"/>
    </row>
    <row r="32">
      <c r="A32" s="9"/>
      <c r="B32" s="9"/>
    </row>
    <row r="33">
      <c r="A33" s="9"/>
      <c r="B33" s="9"/>
    </row>
    <row r="34">
      <c r="A34" s="9"/>
      <c r="B34" s="9"/>
    </row>
    <row r="35">
      <c r="A35" s="9"/>
      <c r="B35" s="9"/>
    </row>
    <row r="36">
      <c r="A36" s="9"/>
      <c r="B36" s="9"/>
    </row>
    <row r="37">
      <c r="A37" s="9"/>
      <c r="B37" s="9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</sheetData>
  <hyperlinks>
    <hyperlink r:id="rId1" ref="A1"/>
  </hyperlinks>
  <drawing r:id="rId2"/>
</worksheet>
</file>